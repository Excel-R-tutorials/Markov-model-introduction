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idennay\Documents\R Work\Markov_Intro\"/>
    </mc:Choice>
  </mc:AlternateContent>
  <bookViews>
    <workbookView xWindow="0" yWindow="0" windowWidth="19200" windowHeight="5310"/>
  </bookViews>
  <sheets>
    <sheet name="Introduction" sheetId="28" r:id="rId1"/>
    <sheet name="Parameters and Analysis" sheetId="1" r:id="rId2"/>
    <sheet name="Markov Model" sheetId="5" r:id="rId3"/>
    <sheet name="Scenario Summary" sheetId="16" r:id="rId4"/>
    <sheet name="CohortDrug" sheetId="9" r:id="rId5"/>
    <sheet name="CohortNoDrug" sheetId="8" r:id="rId6"/>
    <sheet name="Model Figure" sheetId="30" r:id="rId7"/>
  </sheets>
  <definedNames>
    <definedName name="_nD35">'Parameters and Analysis'!$B$19</definedName>
    <definedName name="_nD45">'Parameters and Analysis'!$B$20</definedName>
    <definedName name="_nD55">'Parameters and Analysis'!$B$21</definedName>
    <definedName name="_nD65">'Parameters and Analysis'!$B$22</definedName>
    <definedName name="_nD75">'Parameters and Analysis'!$B$23</definedName>
    <definedName name="_nD85">'Parameters and Analysis'!$B$24</definedName>
    <definedName name="alpha">'Parameters and Analysis'!$N$5:$N$13</definedName>
    <definedName name="Asymp">'Markov Model'!$D$5:$D$50</definedName>
    <definedName name="Asymp_lag">'Markov Model'!$E$5:$E$50</definedName>
    <definedName name="beta">'Parameters and Analysis'!$O$5:$O$13</definedName>
    <definedName name="cAsymp">'Parameters and Analysis'!$B$5</definedName>
    <definedName name="cDeath">'Parameters and Analysis'!$B$6</definedName>
    <definedName name="cDR">'Parameters and Analysis'!$B$17</definedName>
    <definedName name="cDrug">'Parameters and Analysis'!$B$7</definedName>
    <definedName name="cProg">'Parameters and Analysis'!$B$9</definedName>
    <definedName name="cycle">'Parameters and Analysis'!$B$15</definedName>
    <definedName name="Death">'Markov Model'!$H$5:$H$50</definedName>
    <definedName name="Death_lag">'Markov Model'!$I$5:$I$50</definedName>
    <definedName name="effect">'Parameters and Analysis'!$B$10</definedName>
    <definedName name="ini_age">'Parameters and Analysis'!$B$16</definedName>
    <definedName name="mean">'Parameters and Analysis'!$I$5:$I$13</definedName>
    <definedName name="n_cohort">'Markov Model'!$D$5</definedName>
    <definedName name="ncycle">'Markov Model'!$A$5:$A$50</definedName>
    <definedName name="nDeath">'Markov Model'!#REF!</definedName>
    <definedName name="oDR">'Parameters and Analysis'!$B$18</definedName>
    <definedName name="Prog">'Markov Model'!$F$5:$F$50</definedName>
    <definedName name="Prog_lag">'Markov Model'!$G$5:$G$50</definedName>
    <definedName name="rDeath">'Markov Model'!$B$5:$B$51</definedName>
    <definedName name="se">'Parameters and Analysis'!$M$5:$M$13</definedName>
    <definedName name="tpDcm">'Parameters and Analysis'!$B$8</definedName>
    <definedName name="tpProg">'Parameters and Analysis'!$B$11</definedName>
    <definedName name="uAsymp">'Parameters and Analysis'!$B$12</definedName>
    <definedName name="uProg">'Parameters and Analysis'!$B$13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5" l="1"/>
  <c r="D6" i="5" s="1"/>
  <c r="I6" i="5"/>
  <c r="G6" i="5"/>
  <c r="E6" i="5"/>
  <c r="AE6" i="5"/>
  <c r="W6" i="5"/>
  <c r="V6" i="5"/>
  <c r="AE7" i="5" s="1"/>
  <c r="Q6" i="5"/>
  <c r="D69" i="5"/>
  <c r="J69" i="5"/>
  <c r="K69" i="5"/>
  <c r="D70" i="5"/>
  <c r="J70" i="5"/>
  <c r="K70" i="5"/>
  <c r="D71" i="5"/>
  <c r="J71" i="5"/>
  <c r="K71" i="5"/>
  <c r="D72" i="5"/>
  <c r="J72" i="5"/>
  <c r="K72" i="5"/>
  <c r="D73" i="5"/>
  <c r="J73" i="5"/>
  <c r="K73" i="5"/>
  <c r="D74" i="5"/>
  <c r="J74" i="5"/>
  <c r="K74" i="5"/>
  <c r="D75" i="5"/>
  <c r="J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M5" i="1"/>
  <c r="L5" i="1" s="1"/>
  <c r="M6" i="1"/>
  <c r="L6" i="1" s="1"/>
  <c r="M7" i="1"/>
  <c r="L7" i="1" s="1"/>
  <c r="M8" i="1"/>
  <c r="N8" i="1"/>
  <c r="O8" i="1" s="1"/>
  <c r="M9" i="1"/>
  <c r="L9" i="1" s="1"/>
  <c r="M10" i="1"/>
  <c r="L10" i="1" s="1"/>
  <c r="M11" i="1"/>
  <c r="N11" i="1"/>
  <c r="O11" i="1" s="1"/>
  <c r="M12" i="1"/>
  <c r="N12" i="1"/>
  <c r="O12" i="1" s="1"/>
  <c r="M13" i="1"/>
  <c r="N13" i="1"/>
  <c r="O13" i="1" s="1"/>
  <c r="G38" i="1"/>
  <c r="G39" i="1"/>
  <c r="G40" i="1"/>
  <c r="G41" i="1"/>
  <c r="G42" i="1"/>
  <c r="G43" i="1"/>
  <c r="G44" i="1"/>
  <c r="I7" i="5" l="1"/>
  <c r="F6" i="5"/>
  <c r="G7" i="5" s="1"/>
  <c r="K76" i="5"/>
  <c r="U6" i="5"/>
  <c r="L13" i="1"/>
  <c r="L11" i="1"/>
  <c r="L12" i="1"/>
  <c r="L8" i="1"/>
  <c r="D90" i="5"/>
  <c r="J76" i="5"/>
  <c r="V7" i="5" l="1"/>
  <c r="AE8" i="5" s="1"/>
  <c r="AA6" i="5"/>
  <c r="AD6" i="5"/>
  <c r="AB6" i="5"/>
  <c r="W7" i="5"/>
  <c r="Z6" i="5"/>
  <c r="Y6" i="5"/>
  <c r="AF6" i="5" l="1"/>
  <c r="U7" i="5"/>
  <c r="AD7" i="5" l="1"/>
  <c r="AB7" i="5"/>
  <c r="AA7" i="5"/>
  <c r="V8" i="5"/>
  <c r="AE9" i="5" s="1"/>
  <c r="W8" i="5"/>
  <c r="Y7" i="5"/>
  <c r="Z7" i="5"/>
  <c r="U8" i="5" l="1"/>
  <c r="AF7" i="5"/>
  <c r="AB8" i="5" l="1"/>
  <c r="AD8" i="5"/>
  <c r="AA8" i="5"/>
  <c r="W9" i="5"/>
  <c r="V9" i="5"/>
  <c r="AE10" i="5" s="1"/>
  <c r="Z8" i="5"/>
  <c r="Y8" i="5"/>
  <c r="AF8" i="5" l="1"/>
  <c r="U9" i="5"/>
  <c r="W10" i="5" l="1"/>
  <c r="AA9" i="5"/>
  <c r="AD9" i="5"/>
  <c r="AB9" i="5"/>
  <c r="V10" i="5"/>
  <c r="AE11" i="5" s="1"/>
  <c r="Y9" i="5"/>
  <c r="Z9" i="5"/>
  <c r="AF9" i="5" l="1"/>
  <c r="U10" i="5"/>
  <c r="AD10" i="5" l="1"/>
  <c r="AB10" i="5"/>
  <c r="AA10" i="5"/>
  <c r="V11" i="5"/>
  <c r="AE12" i="5" s="1"/>
  <c r="W11" i="5"/>
  <c r="Z10" i="5"/>
  <c r="Y10" i="5"/>
  <c r="U11" i="5" l="1"/>
  <c r="AF10" i="5"/>
  <c r="V12" i="5" l="1"/>
  <c r="AE13" i="5" s="1"/>
  <c r="AD11" i="5"/>
  <c r="AB11" i="5"/>
  <c r="AA11" i="5"/>
  <c r="W12" i="5"/>
  <c r="Y11" i="5"/>
  <c r="AF11" i="5"/>
  <c r="Z11" i="5"/>
  <c r="U12" i="5" l="1"/>
  <c r="V13" i="5"/>
  <c r="AE14" i="5" s="1"/>
  <c r="AD12" i="5"/>
  <c r="AF12" i="5" s="1"/>
  <c r="AB12" i="5"/>
  <c r="AA12" i="5"/>
  <c r="W13" i="5"/>
  <c r="Z12" i="5"/>
  <c r="Y12" i="5"/>
  <c r="U13" i="5" l="1"/>
  <c r="Y13" i="5"/>
  <c r="Z13" i="5"/>
  <c r="V14" i="5" l="1"/>
  <c r="AE15" i="5" s="1"/>
  <c r="AA13" i="5"/>
  <c r="AD13" i="5"/>
  <c r="AF13" i="5" s="1"/>
  <c r="AB13" i="5"/>
  <c r="W14" i="5"/>
  <c r="U14" i="5" s="1"/>
  <c r="AD14" i="5" l="1"/>
  <c r="AB14" i="5"/>
  <c r="AA14" i="5"/>
  <c r="V15" i="5"/>
  <c r="AE16" i="5" s="1"/>
  <c r="W15" i="5"/>
  <c r="Z14" i="5"/>
  <c r="Y14" i="5"/>
  <c r="AF14" i="5"/>
  <c r="U15" i="5" l="1"/>
  <c r="W16" i="5" l="1"/>
  <c r="AD15" i="5"/>
  <c r="AB15" i="5"/>
  <c r="AA15" i="5"/>
  <c r="V16" i="5"/>
  <c r="AE17" i="5" s="1"/>
  <c r="Y15" i="5"/>
  <c r="AF15" i="5"/>
  <c r="Z15" i="5"/>
  <c r="U16" i="5" l="1"/>
  <c r="V17" i="5"/>
  <c r="AE18" i="5" s="1"/>
  <c r="Z16" i="5"/>
  <c r="AD16" i="5" l="1"/>
  <c r="AF16" i="5" s="1"/>
  <c r="AB16" i="5"/>
  <c r="AA16" i="5"/>
  <c r="Y16" i="5"/>
  <c r="W17" i="5"/>
  <c r="U17" i="5"/>
  <c r="Y17" i="5"/>
  <c r="W18" i="5" l="1"/>
  <c r="AA17" i="5"/>
  <c r="AD17" i="5"/>
  <c r="AF17" i="5" s="1"/>
  <c r="AB17" i="5"/>
  <c r="Z17" i="5"/>
  <c r="V18" i="5"/>
  <c r="U18" i="5" l="1"/>
  <c r="AE19" i="5"/>
  <c r="W19" i="5"/>
  <c r="Z18" i="5"/>
  <c r="V19" i="5"/>
  <c r="Y18" i="5"/>
  <c r="U19" i="5" l="1"/>
  <c r="AE20" i="5"/>
  <c r="AD18" i="5"/>
  <c r="AF18" i="5" s="1"/>
  <c r="AB18" i="5"/>
  <c r="AA18" i="5"/>
  <c r="W20" i="5"/>
  <c r="V20" i="5"/>
  <c r="AE21" i="5" s="1"/>
  <c r="Y19" i="5"/>
  <c r="Z19" i="5"/>
  <c r="AD19" i="5" l="1"/>
  <c r="AF19" i="5" s="1"/>
  <c r="AB19" i="5"/>
  <c r="AA19" i="5"/>
  <c r="U20" i="5"/>
  <c r="W21" i="5" l="1"/>
  <c r="AD20" i="5"/>
  <c r="AF20" i="5" s="1"/>
  <c r="AB20" i="5"/>
  <c r="AA20" i="5"/>
  <c r="V21" i="5"/>
  <c r="AE22" i="5" s="1"/>
  <c r="Z20" i="5"/>
  <c r="Y20" i="5"/>
  <c r="U21" i="5" l="1"/>
  <c r="W22" i="5" l="1"/>
  <c r="AA21" i="5"/>
  <c r="AD21" i="5"/>
  <c r="AF21" i="5" s="1"/>
  <c r="AB21" i="5"/>
  <c r="V22" i="5"/>
  <c r="AE23" i="5" s="1"/>
  <c r="Y21" i="5"/>
  <c r="Z21" i="5"/>
  <c r="U22" i="5" l="1"/>
  <c r="V23" i="5"/>
  <c r="AE24" i="5" s="1"/>
  <c r="Z22" i="5"/>
  <c r="Y22" i="5"/>
  <c r="W23" i="5" l="1"/>
  <c r="AD22" i="5"/>
  <c r="AF22" i="5" s="1"/>
  <c r="AB22" i="5"/>
  <c r="AA22" i="5"/>
  <c r="U23" i="5"/>
  <c r="Y23" i="5"/>
  <c r="Z23" i="5"/>
  <c r="W24" i="5" l="1"/>
  <c r="AD23" i="5"/>
  <c r="AF23" i="5" s="1"/>
  <c r="AB23" i="5"/>
  <c r="AA23" i="5"/>
  <c r="V24" i="5"/>
  <c r="U24" i="5" l="1"/>
  <c r="V25" i="5" s="1"/>
  <c r="AE26" i="5" s="1"/>
  <c r="AE25" i="5"/>
  <c r="Y24" i="5" l="1"/>
  <c r="Z24" i="5"/>
  <c r="W25" i="5"/>
  <c r="U25" i="5" s="1"/>
  <c r="AD24" i="5"/>
  <c r="AF24" i="5" s="1"/>
  <c r="AB24" i="5"/>
  <c r="AA24" i="5"/>
  <c r="V26" i="5" l="1"/>
  <c r="AE27" i="5" s="1"/>
  <c r="AA25" i="5"/>
  <c r="AB25" i="5"/>
  <c r="AD25" i="5"/>
  <c r="AF25" i="5" s="1"/>
  <c r="W26" i="5"/>
  <c r="U26" i="5" s="1"/>
  <c r="Z25" i="5"/>
  <c r="Y25" i="5"/>
  <c r="V27" i="5" l="1"/>
  <c r="AE28" i="5" s="1"/>
  <c r="AD26" i="5"/>
  <c r="AB26" i="5"/>
  <c r="AA26" i="5"/>
  <c r="W27" i="5"/>
  <c r="Z26" i="5"/>
  <c r="Y26" i="5"/>
  <c r="AF26" i="5"/>
  <c r="U27" i="5" l="1"/>
  <c r="W28" i="5" l="1"/>
  <c r="AD27" i="5"/>
  <c r="AF27" i="5" s="1"/>
  <c r="AB27" i="5"/>
  <c r="AA27" i="5"/>
  <c r="V28" i="5"/>
  <c r="AE29" i="5" s="1"/>
  <c r="Y27" i="5"/>
  <c r="Z27" i="5"/>
  <c r="U28" i="5" l="1"/>
  <c r="Y28" i="5" s="1"/>
  <c r="V29" i="5"/>
  <c r="AE30" i="5" s="1"/>
  <c r="Z28" i="5"/>
  <c r="W29" i="5" l="1"/>
  <c r="AD28" i="5"/>
  <c r="AF28" i="5" s="1"/>
  <c r="AB28" i="5"/>
  <c r="AA28" i="5"/>
  <c r="U29" i="5"/>
  <c r="V30" i="5"/>
  <c r="AE31" i="5" s="1"/>
  <c r="Y29" i="5"/>
  <c r="Z29" i="5"/>
  <c r="W30" i="5" l="1"/>
  <c r="AA29" i="5"/>
  <c r="AD29" i="5"/>
  <c r="AF29" i="5" s="1"/>
  <c r="AB29" i="5"/>
  <c r="U30" i="5"/>
  <c r="Y30" i="5"/>
  <c r="W31" i="5" l="1"/>
  <c r="AD30" i="5"/>
  <c r="AF30" i="5" s="1"/>
  <c r="AB30" i="5"/>
  <c r="AA30" i="5"/>
  <c r="Z30" i="5"/>
  <c r="V31" i="5"/>
  <c r="AE32" i="5" s="1"/>
  <c r="U31" i="5" l="1"/>
  <c r="W32" i="5" l="1"/>
  <c r="AD31" i="5"/>
  <c r="AF31" i="5" s="1"/>
  <c r="AB31" i="5"/>
  <c r="AA31" i="5"/>
  <c r="Z31" i="5"/>
  <c r="Y31" i="5"/>
  <c r="V32" i="5"/>
  <c r="AE33" i="5" s="1"/>
  <c r="U32" i="5" l="1"/>
  <c r="W33" i="5" l="1"/>
  <c r="AD32" i="5"/>
  <c r="AF32" i="5" s="1"/>
  <c r="AB32" i="5"/>
  <c r="AA32" i="5"/>
  <c r="Y32" i="5"/>
  <c r="Z32" i="5"/>
  <c r="V33" i="5"/>
  <c r="AE34" i="5" s="1"/>
  <c r="U33" i="5" l="1"/>
  <c r="W34" i="5" l="1"/>
  <c r="AA33" i="5"/>
  <c r="AD33" i="5"/>
  <c r="AF33" i="5" s="1"/>
  <c r="AB33" i="5"/>
  <c r="Y33" i="5"/>
  <c r="Z33" i="5"/>
  <c r="V34" i="5"/>
  <c r="AE35" i="5" s="1"/>
  <c r="U34" i="5" l="1"/>
  <c r="W35" i="5" l="1"/>
  <c r="AD34" i="5"/>
  <c r="AF34" i="5" s="1"/>
  <c r="AB34" i="5"/>
  <c r="AA34" i="5"/>
  <c r="Z34" i="5"/>
  <c r="Y34" i="5"/>
  <c r="V35" i="5"/>
  <c r="AE36" i="5" s="1"/>
  <c r="U35" i="5" l="1"/>
  <c r="W36" i="5" l="1"/>
  <c r="AD35" i="5"/>
  <c r="AB35" i="5"/>
  <c r="AA35" i="5"/>
  <c r="V36" i="5"/>
  <c r="Z35" i="5"/>
  <c r="Y35" i="5"/>
  <c r="AF35" i="5"/>
  <c r="U36" i="5" l="1"/>
  <c r="Z36" i="5" s="1"/>
  <c r="AE37" i="5"/>
  <c r="Y36" i="5"/>
  <c r="V37" i="5" l="1"/>
  <c r="W37" i="5"/>
  <c r="AE38" i="5"/>
  <c r="AD36" i="5"/>
  <c r="AF36" i="5" s="1"/>
  <c r="AB36" i="5"/>
  <c r="AA36" i="5"/>
  <c r="U37" i="5" l="1"/>
  <c r="Y37" i="5"/>
  <c r="Z37" i="5"/>
  <c r="V38" i="5"/>
  <c r="AE39" i="5" s="1"/>
  <c r="W38" i="5"/>
  <c r="AA37" i="5"/>
  <c r="AD37" i="5"/>
  <c r="AF37" i="5" s="1"/>
  <c r="AB37" i="5"/>
  <c r="U38" i="5" l="1"/>
  <c r="W39" i="5"/>
  <c r="AD38" i="5"/>
  <c r="AF38" i="5" s="1"/>
  <c r="AB38" i="5"/>
  <c r="AA38" i="5"/>
  <c r="Z38" i="5"/>
  <c r="Y38" i="5"/>
  <c r="V39" i="5"/>
  <c r="AE40" i="5" s="1"/>
  <c r="U39" i="5" l="1"/>
  <c r="W40" i="5" l="1"/>
  <c r="AD39" i="5"/>
  <c r="AF39" i="5" s="1"/>
  <c r="AB39" i="5"/>
  <c r="AA39" i="5"/>
  <c r="Y39" i="5"/>
  <c r="Z39" i="5"/>
  <c r="V40" i="5"/>
  <c r="AE41" i="5" s="1"/>
  <c r="U40" i="5" l="1"/>
  <c r="W41" i="5" l="1"/>
  <c r="AD40" i="5"/>
  <c r="AF40" i="5" s="1"/>
  <c r="AB40" i="5"/>
  <c r="AA40" i="5"/>
  <c r="Z40" i="5"/>
  <c r="Y40" i="5"/>
  <c r="V41" i="5"/>
  <c r="AE42" i="5" s="1"/>
  <c r="U41" i="5" l="1"/>
  <c r="W42" i="5" l="1"/>
  <c r="AA41" i="5"/>
  <c r="AD41" i="5"/>
  <c r="AF41" i="5" s="1"/>
  <c r="AB41" i="5"/>
  <c r="Y41" i="5"/>
  <c r="Z41" i="5"/>
  <c r="V42" i="5"/>
  <c r="AE43" i="5" s="1"/>
  <c r="U42" i="5" l="1"/>
  <c r="W43" i="5" l="1"/>
  <c r="AD42" i="5"/>
  <c r="AF42" i="5" s="1"/>
  <c r="AB42" i="5"/>
  <c r="AA42" i="5"/>
  <c r="Y42" i="5"/>
  <c r="Z42" i="5"/>
  <c r="V43" i="5"/>
  <c r="AE44" i="5" s="1"/>
  <c r="U43" i="5" l="1"/>
  <c r="W44" i="5" l="1"/>
  <c r="AD43" i="5"/>
  <c r="AF43" i="5" s="1"/>
  <c r="AB43" i="5"/>
  <c r="AA43" i="5"/>
  <c r="Y43" i="5"/>
  <c r="Z43" i="5"/>
  <c r="V44" i="5"/>
  <c r="AE45" i="5" s="1"/>
  <c r="U44" i="5" l="1"/>
  <c r="W45" i="5" l="1"/>
  <c r="AD44" i="5"/>
  <c r="AF44" i="5" s="1"/>
  <c r="AB44" i="5"/>
  <c r="AA44" i="5"/>
  <c r="Y44" i="5"/>
  <c r="Z44" i="5"/>
  <c r="V45" i="5"/>
  <c r="AE46" i="5" s="1"/>
  <c r="U45" i="5" l="1"/>
  <c r="W46" i="5" l="1"/>
  <c r="AA45" i="5"/>
  <c r="AD45" i="5"/>
  <c r="AF45" i="5" s="1"/>
  <c r="AB45" i="5"/>
  <c r="Y45" i="5"/>
  <c r="Z45" i="5"/>
  <c r="V46" i="5"/>
  <c r="AE47" i="5" s="1"/>
  <c r="U46" i="5" l="1"/>
  <c r="W47" i="5" l="1"/>
  <c r="AD46" i="5"/>
  <c r="AF46" i="5" s="1"/>
  <c r="AB46" i="5"/>
  <c r="AA46" i="5"/>
  <c r="Z46" i="5"/>
  <c r="Y46" i="5"/>
  <c r="V47" i="5"/>
  <c r="AE48" i="5" s="1"/>
  <c r="U47" i="5" l="1"/>
  <c r="W48" i="5" l="1"/>
  <c r="AD47" i="5"/>
  <c r="AF47" i="5" s="1"/>
  <c r="AB47" i="5"/>
  <c r="AA47" i="5"/>
  <c r="Y47" i="5"/>
  <c r="Z47" i="5"/>
  <c r="V48" i="5"/>
  <c r="AE49" i="5" s="1"/>
  <c r="U48" i="5" l="1"/>
  <c r="Y48" i="5"/>
  <c r="Z48" i="5"/>
  <c r="V49" i="5"/>
  <c r="AE50" i="5" s="1"/>
  <c r="W49" i="5" l="1"/>
  <c r="AD48" i="5"/>
  <c r="AF48" i="5" s="1"/>
  <c r="AB48" i="5"/>
  <c r="AA48" i="5"/>
  <c r="U49" i="5"/>
  <c r="AE52" i="5"/>
  <c r="AE53" i="5" s="1"/>
  <c r="W50" i="5" l="1"/>
  <c r="AA49" i="5"/>
  <c r="AD49" i="5"/>
  <c r="AB49" i="5"/>
  <c r="Y49" i="5"/>
  <c r="Z49" i="5"/>
  <c r="V50" i="5"/>
  <c r="U50" i="5" l="1"/>
  <c r="AF49" i="5"/>
  <c r="AD50" i="5" l="1"/>
  <c r="AB50" i="5"/>
  <c r="AB52" i="5" s="1"/>
  <c r="AB53" i="5" s="1"/>
  <c r="B32" i="1" s="1"/>
  <c r="AA50" i="5"/>
  <c r="AA52" i="5" s="1"/>
  <c r="AA53" i="5" s="1"/>
  <c r="Y50" i="5"/>
  <c r="Y52" i="5" s="1"/>
  <c r="Y53" i="5" s="1"/>
  <c r="Z50" i="5"/>
  <c r="Z52" i="5" s="1"/>
  <c r="Z53" i="5" s="1"/>
  <c r="AF50" i="5" l="1"/>
  <c r="AF52" i="5" s="1"/>
  <c r="AF53" i="5" s="1"/>
  <c r="B61" i="5" s="1"/>
  <c r="C32" i="1" s="1"/>
  <c r="AD52" i="5"/>
  <c r="AD53" i="5" s="1"/>
  <c r="B33" i="1" l="1"/>
  <c r="B31" i="1"/>
  <c r="Q7" i="5"/>
  <c r="M6" i="5" l="1"/>
  <c r="E7" i="5"/>
  <c r="H7" i="5" s="1"/>
  <c r="I8" i="5" s="1"/>
  <c r="K6" i="5"/>
  <c r="N6" i="5"/>
  <c r="L6" i="5"/>
  <c r="P6" i="5"/>
  <c r="F7" i="5" l="1"/>
  <c r="D7" i="5" s="1"/>
  <c r="R6" i="5"/>
  <c r="G8" i="5" l="1"/>
  <c r="P7" i="5"/>
  <c r="Q8" i="5"/>
  <c r="L7" i="5" l="1"/>
  <c r="N7" i="5"/>
  <c r="E8" i="5"/>
  <c r="H8" i="5" s="1"/>
  <c r="I9" i="5" s="1"/>
  <c r="M7" i="5"/>
  <c r="K7" i="5"/>
  <c r="F8" i="5"/>
  <c r="R7" i="5"/>
  <c r="D8" i="5" l="1"/>
  <c r="G9" i="5"/>
  <c r="K8" i="5"/>
  <c r="Q9" i="5"/>
  <c r="L8" i="5"/>
  <c r="H9" i="5"/>
  <c r="I10" i="5" s="1"/>
  <c r="P8" i="5" l="1"/>
  <c r="R8" i="5" s="1"/>
  <c r="N8" i="5"/>
  <c r="E9" i="5"/>
  <c r="M8" i="5"/>
  <c r="F9" i="5"/>
  <c r="D9" i="5" s="1"/>
  <c r="G10" i="5" l="1"/>
  <c r="Q10" i="5"/>
  <c r="E10" i="5" l="1"/>
  <c r="F10" i="5" s="1"/>
  <c r="N9" i="5"/>
  <c r="M9" i="5"/>
  <c r="P9" i="5"/>
  <c r="R9" i="5" s="1"/>
  <c r="K9" i="5"/>
  <c r="L9" i="5"/>
  <c r="H10" i="5"/>
  <c r="I11" i="5" s="1"/>
  <c r="D10" i="5" l="1"/>
  <c r="G11" i="5"/>
  <c r="Q11" i="5"/>
  <c r="L10" i="5" l="1"/>
  <c r="K10" i="5"/>
  <c r="N10" i="5"/>
  <c r="M10" i="5"/>
  <c r="P10" i="5"/>
  <c r="R10" i="5" s="1"/>
  <c r="E11" i="5"/>
  <c r="F11" i="5"/>
  <c r="H11" i="5"/>
  <c r="I12" i="5" s="1"/>
  <c r="D11" i="5" l="1"/>
  <c r="H12" i="5"/>
  <c r="I13" i="5" s="1"/>
  <c r="Q12" i="5"/>
  <c r="G12" i="5"/>
  <c r="E12" i="5" l="1"/>
  <c r="F12" i="5" s="1"/>
  <c r="D12" i="5" s="1"/>
  <c r="M11" i="5"/>
  <c r="P11" i="5"/>
  <c r="R11" i="5" s="1"/>
  <c r="N11" i="5"/>
  <c r="K11" i="5"/>
  <c r="L11" i="5"/>
  <c r="G13" i="5" l="1"/>
  <c r="H13" i="5"/>
  <c r="I14" i="5" s="1"/>
  <c r="Q13" i="5"/>
  <c r="F13" i="5" l="1"/>
  <c r="D13" i="5" s="1"/>
  <c r="E13" i="5"/>
  <c r="N12" i="5"/>
  <c r="M12" i="5"/>
  <c r="K12" i="5"/>
  <c r="P12" i="5"/>
  <c r="R12" i="5" s="1"/>
  <c r="L12" i="5"/>
  <c r="Q14" i="5" l="1"/>
  <c r="F14" i="5"/>
  <c r="G14" i="5"/>
  <c r="L13" i="5"/>
  <c r="E14" i="5"/>
  <c r="M13" i="5"/>
  <c r="N13" i="5"/>
  <c r="P13" i="5"/>
  <c r="R13" i="5" s="1"/>
  <c r="K13" i="5"/>
  <c r="H14" i="5" l="1"/>
  <c r="I15" i="5" s="1"/>
  <c r="Q15" i="5"/>
  <c r="G15" i="5"/>
  <c r="D14" i="5" l="1"/>
  <c r="M14" i="5" s="1"/>
  <c r="P14" i="5" l="1"/>
  <c r="R14" i="5" s="1"/>
  <c r="H15" i="5"/>
  <c r="I16" i="5" s="1"/>
  <c r="N14" i="5"/>
  <c r="K14" i="5"/>
  <c r="E15" i="5"/>
  <c r="L14" i="5"/>
  <c r="F15" i="5"/>
  <c r="D15" i="5" l="1"/>
  <c r="F16" i="5" s="1"/>
  <c r="G16" i="5"/>
  <c r="Q16" i="5"/>
  <c r="H16" i="5"/>
  <c r="I17" i="5" s="1"/>
  <c r="D16" i="5" l="1"/>
  <c r="N16" i="5" s="1"/>
  <c r="G17" i="5"/>
  <c r="Q17" i="5"/>
  <c r="F17" i="5"/>
  <c r="D17" i="5" s="1"/>
  <c r="H17" i="5"/>
  <c r="I18" i="5" s="1"/>
  <c r="K15" i="5"/>
  <c r="L15" i="5"/>
  <c r="M15" i="5"/>
  <c r="P15" i="5"/>
  <c r="R15" i="5" s="1"/>
  <c r="E16" i="5"/>
  <c r="N15" i="5"/>
  <c r="E17" i="5"/>
  <c r="M16" i="5"/>
  <c r="F18" i="5"/>
  <c r="Q18" i="5" l="1"/>
  <c r="G18" i="5"/>
  <c r="P16" i="5"/>
  <c r="R16" i="5" s="1"/>
  <c r="K16" i="5"/>
  <c r="L16" i="5"/>
  <c r="M17" i="5"/>
  <c r="K17" i="5"/>
  <c r="P17" i="5"/>
  <c r="R17" i="5" s="1"/>
  <c r="L17" i="5"/>
  <c r="N17" i="5"/>
  <c r="E18" i="5"/>
  <c r="Q19" i="5"/>
  <c r="G19" i="5"/>
  <c r="H18" i="5"/>
  <c r="I19" i="5" s="1"/>
  <c r="D18" i="5" l="1"/>
  <c r="L18" i="5" s="1"/>
  <c r="M18" i="5"/>
  <c r="F19" i="5"/>
  <c r="H19" i="5"/>
  <c r="I20" i="5" s="1"/>
  <c r="N18" i="5" l="1"/>
  <c r="K18" i="5"/>
  <c r="E19" i="5"/>
  <c r="P18" i="5"/>
  <c r="R18" i="5" s="1"/>
  <c r="G20" i="5"/>
  <c r="D19" i="5"/>
  <c r="H20" i="5" s="1"/>
  <c r="I21" i="5" s="1"/>
  <c r="Q20" i="5"/>
  <c r="F20" i="5"/>
  <c r="G21" i="5" l="1"/>
  <c r="D20" i="5"/>
  <c r="Q21" i="5"/>
  <c r="F21" i="5"/>
  <c r="G22" i="5" s="1"/>
  <c r="E20" i="5"/>
  <c r="N19" i="5"/>
  <c r="M19" i="5"/>
  <c r="L19" i="5"/>
  <c r="K19" i="5"/>
  <c r="P19" i="5"/>
  <c r="R19" i="5" s="1"/>
  <c r="H21" i="5"/>
  <c r="I22" i="5" s="1"/>
  <c r="Q22" i="5" l="1"/>
  <c r="D21" i="5"/>
  <c r="H22" i="5" s="1"/>
  <c r="I23" i="5" s="1"/>
  <c r="N20" i="5"/>
  <c r="E21" i="5"/>
  <c r="K20" i="5"/>
  <c r="M20" i="5"/>
  <c r="P20" i="5"/>
  <c r="R20" i="5" s="1"/>
  <c r="L20" i="5"/>
  <c r="K21" i="5" l="1"/>
  <c r="F22" i="5"/>
  <c r="G23" i="5" s="1"/>
  <c r="L21" i="5"/>
  <c r="N21" i="5"/>
  <c r="P21" i="5"/>
  <c r="R21" i="5" s="1"/>
  <c r="M21" i="5"/>
  <c r="E22" i="5"/>
  <c r="Q23" i="5"/>
  <c r="D22" i="5" l="1"/>
  <c r="H23" i="5"/>
  <c r="I24" i="5" s="1"/>
  <c r="E23" i="5"/>
  <c r="L22" i="5"/>
  <c r="N22" i="5"/>
  <c r="K22" i="5"/>
  <c r="P22" i="5"/>
  <c r="R22" i="5" s="1"/>
  <c r="M22" i="5"/>
  <c r="F23" i="5"/>
  <c r="G24" i="5" s="1"/>
  <c r="D23" i="5" l="1"/>
  <c r="Q24" i="5"/>
  <c r="H24" i="5" l="1"/>
  <c r="I25" i="5" s="1"/>
  <c r="E24" i="5"/>
  <c r="M23" i="5"/>
  <c r="L23" i="5"/>
  <c r="K23" i="5"/>
  <c r="P23" i="5"/>
  <c r="R23" i="5" s="1"/>
  <c r="N23" i="5"/>
  <c r="F24" i="5"/>
  <c r="G25" i="5" s="1"/>
  <c r="D24" i="5" l="1"/>
  <c r="Q25" i="5"/>
  <c r="F25" i="5"/>
  <c r="G26" i="5" s="1"/>
  <c r="Q26" i="5" l="1"/>
  <c r="H25" i="5"/>
  <c r="E25" i="5"/>
  <c r="L24" i="5"/>
  <c r="P24" i="5"/>
  <c r="R24" i="5" s="1"/>
  <c r="K24" i="5"/>
  <c r="N24" i="5"/>
  <c r="M24" i="5"/>
  <c r="D25" i="5" l="1"/>
  <c r="M25" i="5" s="1"/>
  <c r="I26" i="5"/>
  <c r="P25" i="5" l="1"/>
  <c r="R25" i="5" s="1"/>
  <c r="N25" i="5"/>
  <c r="E26" i="5"/>
  <c r="L25" i="5"/>
  <c r="H26" i="5"/>
  <c r="I27" i="5" s="1"/>
  <c r="K25" i="5"/>
  <c r="F26" i="5"/>
  <c r="G27" i="5" s="1"/>
  <c r="Q27" i="5" l="1"/>
  <c r="D26" i="5"/>
  <c r="F27" i="5" s="1"/>
  <c r="G28" i="5" s="1"/>
  <c r="H27" i="5"/>
  <c r="I28" i="5" s="1"/>
  <c r="E27" i="5"/>
  <c r="L26" i="5"/>
  <c r="N26" i="5"/>
  <c r="M26" i="5"/>
  <c r="K26" i="5"/>
  <c r="P26" i="5"/>
  <c r="R26" i="5" s="1"/>
  <c r="Q28" i="5" l="1"/>
  <c r="D27" i="5"/>
  <c r="H28" i="5" s="1"/>
  <c r="I29" i="5" s="1"/>
  <c r="E28" i="5" l="1"/>
  <c r="K27" i="5"/>
  <c r="L27" i="5"/>
  <c r="P27" i="5"/>
  <c r="R27" i="5" s="1"/>
  <c r="M27" i="5"/>
  <c r="N27" i="5"/>
  <c r="F28" i="5"/>
  <c r="G29" i="5" s="1"/>
  <c r="D28" i="5" l="1"/>
  <c r="Q29" i="5"/>
  <c r="F29" i="5" l="1"/>
  <c r="G30" i="5" s="1"/>
  <c r="E29" i="5"/>
  <c r="M28" i="5"/>
  <c r="K28" i="5"/>
  <c r="P28" i="5"/>
  <c r="R28" i="5" s="1"/>
  <c r="N28" i="5"/>
  <c r="L28" i="5"/>
  <c r="H29" i="5"/>
  <c r="I30" i="5" s="1"/>
  <c r="D29" i="5" l="1"/>
  <c r="H30" i="5" s="1"/>
  <c r="I31" i="5" s="1"/>
  <c r="Q30" i="5"/>
  <c r="F30" i="5"/>
  <c r="G31" i="5" s="1"/>
  <c r="Q31" i="5" l="1"/>
  <c r="D30" i="5"/>
  <c r="F31" i="5" s="1"/>
  <c r="G32" i="5" s="1"/>
  <c r="E30" i="5"/>
  <c r="M29" i="5"/>
  <c r="K29" i="5"/>
  <c r="L29" i="5"/>
  <c r="N29" i="5"/>
  <c r="P29" i="5"/>
  <c r="R29" i="5" s="1"/>
  <c r="Q32" i="5" l="1"/>
  <c r="H31" i="5"/>
  <c r="I32" i="5" s="1"/>
  <c r="E31" i="5"/>
  <c r="P30" i="5"/>
  <c r="R30" i="5" s="1"/>
  <c r="M30" i="5"/>
  <c r="N30" i="5"/>
  <c r="K30" i="5"/>
  <c r="L30" i="5"/>
  <c r="D31" i="5" l="1"/>
  <c r="E32" i="5" l="1"/>
  <c r="N31" i="5"/>
  <c r="K31" i="5"/>
  <c r="M31" i="5"/>
  <c r="P31" i="5"/>
  <c r="R31" i="5" s="1"/>
  <c r="L31" i="5"/>
  <c r="F32" i="5"/>
  <c r="G33" i="5" s="1"/>
  <c r="H32" i="5"/>
  <c r="I33" i="5" s="1"/>
  <c r="D32" i="5" l="1"/>
  <c r="H33" i="5" s="1"/>
  <c r="I34" i="5" s="1"/>
  <c r="Q33" i="5"/>
  <c r="F33" i="5" l="1"/>
  <c r="G34" i="5" s="1"/>
  <c r="E33" i="5"/>
  <c r="L32" i="5"/>
  <c r="K32" i="5"/>
  <c r="P32" i="5"/>
  <c r="R32" i="5" s="1"/>
  <c r="N32" i="5"/>
  <c r="M32" i="5"/>
  <c r="D33" i="5" l="1"/>
  <c r="F34" i="5" s="1"/>
  <c r="G35" i="5" s="1"/>
  <c r="Q34" i="5"/>
  <c r="P33" i="5" l="1"/>
  <c r="R33" i="5" s="1"/>
  <c r="N33" i="5"/>
  <c r="H34" i="5"/>
  <c r="L33" i="5"/>
  <c r="E34" i="5"/>
  <c r="M33" i="5"/>
  <c r="Q35" i="5"/>
  <c r="K33" i="5"/>
  <c r="D34" i="5" l="1"/>
  <c r="H35" i="5" s="1"/>
  <c r="I36" i="5" s="1"/>
  <c r="I35" i="5"/>
  <c r="L34" i="5" l="1"/>
  <c r="N34" i="5"/>
  <c r="F35" i="5"/>
  <c r="M34" i="5"/>
  <c r="P34" i="5"/>
  <c r="R34" i="5" s="1"/>
  <c r="E35" i="5"/>
  <c r="K34" i="5"/>
  <c r="G36" i="5" l="1"/>
  <c r="Q36" i="5"/>
  <c r="D35" i="5"/>
  <c r="F36" i="5" s="1"/>
  <c r="Q37" i="5" l="1"/>
  <c r="G37" i="5"/>
  <c r="H36" i="5"/>
  <c r="I37" i="5" s="1"/>
  <c r="P35" i="5"/>
  <c r="R35" i="5" s="1"/>
  <c r="K35" i="5"/>
  <c r="E36" i="5"/>
  <c r="L35" i="5"/>
  <c r="M35" i="5"/>
  <c r="N35" i="5"/>
  <c r="D36" i="5" l="1"/>
  <c r="H37" i="5" l="1"/>
  <c r="P36" i="5"/>
  <c r="R36" i="5" s="1"/>
  <c r="N36" i="5"/>
  <c r="E37" i="5"/>
  <c r="L36" i="5"/>
  <c r="M36" i="5"/>
  <c r="K36" i="5"/>
  <c r="F37" i="5"/>
  <c r="G38" i="5" l="1"/>
  <c r="Q38" i="5"/>
  <c r="D37" i="5"/>
  <c r="I38" i="5"/>
  <c r="F38" i="5" l="1"/>
  <c r="N37" i="5"/>
  <c r="K37" i="5"/>
  <c r="M37" i="5"/>
  <c r="L37" i="5"/>
  <c r="E38" i="5"/>
  <c r="P37" i="5"/>
  <c r="R37" i="5" s="1"/>
  <c r="H38" i="5"/>
  <c r="I39" i="5" s="1"/>
  <c r="G39" i="5" l="1"/>
  <c r="Q39" i="5"/>
  <c r="D38" i="5"/>
  <c r="F39" i="5"/>
  <c r="G40" i="5" l="1"/>
  <c r="Q40" i="5"/>
  <c r="H39" i="5"/>
  <c r="I40" i="5" s="1"/>
  <c r="L38" i="5"/>
  <c r="E39" i="5"/>
  <c r="K38" i="5"/>
  <c r="M38" i="5"/>
  <c r="N38" i="5"/>
  <c r="P38" i="5"/>
  <c r="R38" i="5" s="1"/>
  <c r="D39" i="5" l="1"/>
  <c r="H40" i="5" l="1"/>
  <c r="L39" i="5"/>
  <c r="K39" i="5"/>
  <c r="P39" i="5"/>
  <c r="R39" i="5" s="1"/>
  <c r="N39" i="5"/>
  <c r="M39" i="5"/>
  <c r="E40" i="5"/>
  <c r="F40" i="5"/>
  <c r="I41" i="5" l="1"/>
  <c r="G41" i="5"/>
  <c r="D40" i="5"/>
  <c r="F41" i="5" s="1"/>
  <c r="Q41" i="5"/>
  <c r="N40" i="5" l="1"/>
  <c r="K40" i="5"/>
  <c r="E41" i="5"/>
  <c r="M40" i="5"/>
  <c r="L40" i="5"/>
  <c r="P40" i="5"/>
  <c r="R40" i="5" s="1"/>
  <c r="G42" i="5"/>
  <c r="Q42" i="5"/>
  <c r="H41" i="5"/>
  <c r="D41" i="5" s="1"/>
  <c r="I42" i="5" l="1"/>
  <c r="H42" i="5"/>
  <c r="L41" i="5"/>
  <c r="K41" i="5"/>
  <c r="N41" i="5"/>
  <c r="M41" i="5"/>
  <c r="P41" i="5"/>
  <c r="R41" i="5" s="1"/>
  <c r="E42" i="5"/>
  <c r="F42" i="5"/>
  <c r="I43" i="5" l="1"/>
  <c r="G43" i="5"/>
  <c r="D42" i="5"/>
  <c r="Q43" i="5"/>
  <c r="F43" i="5" l="1"/>
  <c r="M42" i="5"/>
  <c r="K42" i="5"/>
  <c r="L42" i="5"/>
  <c r="P42" i="5"/>
  <c r="R42" i="5" s="1"/>
  <c r="N42" i="5"/>
  <c r="E43" i="5"/>
  <c r="H43" i="5"/>
  <c r="I44" i="5" s="1"/>
  <c r="G44" i="5" l="1"/>
  <c r="Q44" i="5"/>
  <c r="D43" i="5"/>
  <c r="F44" i="5"/>
  <c r="G45" i="5" l="1"/>
  <c r="Q45" i="5"/>
  <c r="H44" i="5"/>
  <c r="I45" i="5" s="1"/>
  <c r="L43" i="5"/>
  <c r="N43" i="5"/>
  <c r="P43" i="5"/>
  <c r="R43" i="5" s="1"/>
  <c r="M43" i="5"/>
  <c r="E44" i="5"/>
  <c r="K43" i="5"/>
  <c r="D44" i="5" l="1"/>
  <c r="F45" i="5" s="1"/>
  <c r="Q46" i="5" s="1"/>
  <c r="M44" i="5"/>
  <c r="K44" i="5"/>
  <c r="H45" i="5" l="1"/>
  <c r="D45" i="5" s="1"/>
  <c r="G46" i="5"/>
  <c r="N44" i="5"/>
  <c r="L44" i="5"/>
  <c r="E45" i="5"/>
  <c r="P44" i="5"/>
  <c r="R44" i="5" s="1"/>
  <c r="F46" i="5"/>
  <c r="K45" i="5"/>
  <c r="M45" i="5"/>
  <c r="E46" i="5"/>
  <c r="N45" i="5"/>
  <c r="P45" i="5"/>
  <c r="R45" i="5" s="1"/>
  <c r="L45" i="5"/>
  <c r="I46" i="5"/>
  <c r="H46" i="5"/>
  <c r="D46" i="5" l="1"/>
  <c r="H47" i="5" s="1"/>
  <c r="I47" i="5"/>
  <c r="G47" i="5"/>
  <c r="Q47" i="5"/>
  <c r="F47" i="5"/>
  <c r="I48" i="5" l="1"/>
  <c r="H48" i="5"/>
  <c r="I49" i="5" s="1"/>
  <c r="G48" i="5"/>
  <c r="Q48" i="5"/>
  <c r="D47" i="5"/>
  <c r="K46" i="5"/>
  <c r="N46" i="5"/>
  <c r="E47" i="5"/>
  <c r="L46" i="5"/>
  <c r="P46" i="5"/>
  <c r="R46" i="5" s="1"/>
  <c r="M46" i="5"/>
  <c r="F48" i="5" l="1"/>
  <c r="P47" i="5"/>
  <c r="R47" i="5" s="1"/>
  <c r="K47" i="5"/>
  <c r="E48" i="5"/>
  <c r="L47" i="5"/>
  <c r="N47" i="5"/>
  <c r="M47" i="5"/>
  <c r="G49" i="5" l="1"/>
  <c r="Q49" i="5"/>
  <c r="D48" i="5"/>
  <c r="F49" i="5"/>
  <c r="M48" i="5" l="1"/>
  <c r="K48" i="5"/>
  <c r="P48" i="5"/>
  <c r="R48" i="5" s="1"/>
  <c r="E49" i="5"/>
  <c r="N48" i="5"/>
  <c r="L48" i="5"/>
  <c r="G50" i="5"/>
  <c r="Q50" i="5"/>
  <c r="Q52" i="5" s="1"/>
  <c r="Q53" i="5" s="1"/>
  <c r="H49" i="5"/>
  <c r="I50" i="5" l="1"/>
  <c r="D49" i="5"/>
  <c r="F50" i="5" l="1"/>
  <c r="L49" i="5"/>
  <c r="K49" i="5"/>
  <c r="P49" i="5"/>
  <c r="E50" i="5"/>
  <c r="M49" i="5"/>
  <c r="N49" i="5"/>
  <c r="H50" i="5"/>
  <c r="D50" i="5" l="1"/>
  <c r="M50" i="5" s="1"/>
  <c r="M52" i="5" s="1"/>
  <c r="M53" i="5" s="1"/>
  <c r="R49" i="5"/>
  <c r="K50" i="5" l="1"/>
  <c r="K52" i="5" s="1"/>
  <c r="K53" i="5" s="1"/>
  <c r="N50" i="5"/>
  <c r="N52" i="5" s="1"/>
  <c r="N53" i="5" s="1"/>
  <c r="L50" i="5"/>
  <c r="L52" i="5" s="1"/>
  <c r="L53" i="5" s="1"/>
  <c r="P50" i="5"/>
  <c r="R50" i="5" s="1"/>
  <c r="R52" i="5" s="1"/>
  <c r="R53" i="5" s="1"/>
  <c r="B60" i="5" s="1"/>
  <c r="C31" i="1" s="1"/>
  <c r="P52" i="5" l="1"/>
  <c r="P53" i="5" s="1"/>
  <c r="B62" i="5"/>
  <c r="C33" i="1" s="1"/>
  <c r="B63" i="5" l="1"/>
  <c r="D33" i="1" s="1"/>
</calcChain>
</file>

<file path=xl/comments1.xml><?xml version="1.0" encoding="utf-8"?>
<comments xmlns="http://schemas.openxmlformats.org/spreadsheetml/2006/main">
  <authors>
    <author>Andrew Briggs</author>
  </authors>
  <commentList>
    <comment ref="I4" authorId="0" shapeId="0">
      <text>
        <r>
          <rPr>
            <b/>
            <sz val="10"/>
            <color indexed="81"/>
            <rFont val="Tahoma"/>
            <family val="2"/>
          </rPr>
          <t>These are the original values that are restored at the end of the macro</t>
        </r>
      </text>
    </comment>
    <comment ref="J4" authorId="0" shapeId="0">
      <text>
        <r>
          <rPr>
            <b/>
            <sz val="10"/>
            <color indexed="81"/>
            <rFont val="Tahoma"/>
            <family val="2"/>
          </rPr>
          <t>The lower limit of the 95% confidence interval for each parameter</t>
        </r>
      </text>
    </comment>
    <comment ref="K4" authorId="0" shapeId="0">
      <text>
        <r>
          <rPr>
            <b/>
            <sz val="10"/>
            <color indexed="81"/>
            <rFont val="Tahoma"/>
            <family val="2"/>
          </rPr>
          <t>The upper limit of the 95% confidence interval for each parameter</t>
        </r>
      </text>
    </comment>
    <comment ref="L4" authorId="0" shapeId="0">
      <text>
        <r>
          <rPr>
            <b/>
            <sz val="10"/>
            <color indexed="81"/>
            <rFont val="Tahoma"/>
            <family val="2"/>
          </rPr>
          <t>Random draws from either the Normal or Beta distributed parameters</t>
        </r>
      </text>
    </comment>
    <comment ref="M4" authorId="0" shapeId="0">
      <text>
        <r>
          <rPr>
            <b/>
            <sz val="10"/>
            <color indexed="81"/>
            <rFont val="Tahoma"/>
            <family val="2"/>
          </rPr>
          <t>Estimated standard deviation form the 95% confidence interval</t>
        </r>
      </text>
    </comment>
    <comment ref="N4" authorId="0" shapeId="0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  <comment ref="O4" authorId="0" shapeId="0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</commentList>
</comments>
</file>

<file path=xl/sharedStrings.xml><?xml version="1.0" encoding="utf-8"?>
<sst xmlns="http://schemas.openxmlformats.org/spreadsheetml/2006/main" count="184" uniqueCount="141">
  <si>
    <t>Value</t>
  </si>
  <si>
    <t>Variable description</t>
  </si>
  <si>
    <t>Name</t>
  </si>
  <si>
    <t>Summary of variables in the model</t>
  </si>
  <si>
    <t>cAsymp</t>
  </si>
  <si>
    <t>Cost of one cycle in the asymptomatic disease state</t>
  </si>
  <si>
    <t>cDeath</t>
  </si>
  <si>
    <t>Cost associated with transition to the dead state</t>
  </si>
  <si>
    <t>cDR</t>
  </si>
  <si>
    <t>Discount rate for costs</t>
  </si>
  <si>
    <t>cDrug</t>
  </si>
  <si>
    <t>Cost of drug for one cycle</t>
  </si>
  <si>
    <t>cmDeath</t>
  </si>
  <si>
    <t>Probability of dying from the disease in a single cycle</t>
  </si>
  <si>
    <t>cProg</t>
  </si>
  <si>
    <t>Cost of one cycle in the progressive disease state</t>
  </si>
  <si>
    <t>cycle</t>
  </si>
  <si>
    <t>Length in years of one cycle</t>
  </si>
  <si>
    <t>eff</t>
  </si>
  <si>
    <t>Effectiveness of drug in terms of reducing disease progression</t>
  </si>
  <si>
    <t>ini_age</t>
  </si>
  <si>
    <t>oDR</t>
  </si>
  <si>
    <t>Discount rate for outcomes</t>
  </si>
  <si>
    <t>prog</t>
  </si>
  <si>
    <t>uAsymp</t>
  </si>
  <si>
    <t>Quality of life weight for one cycle in the asymptomatic disease state</t>
  </si>
  <si>
    <t>uProg</t>
  </si>
  <si>
    <t>Quality of life weight for one cycle in the progressive disease state</t>
  </si>
  <si>
    <t>The initial age at which patients are deeemed to start the model</t>
  </si>
  <si>
    <t>Strategy</t>
  </si>
  <si>
    <t>Cost</t>
  </si>
  <si>
    <t>Eff</t>
  </si>
  <si>
    <t>mean</t>
  </si>
  <si>
    <t>Cycle</t>
  </si>
  <si>
    <t>Prog</t>
  </si>
  <si>
    <t>Death</t>
  </si>
  <si>
    <t>Asymp</t>
  </si>
  <si>
    <t>nD35</t>
  </si>
  <si>
    <t>nD45</t>
  </si>
  <si>
    <t>nD55</t>
  </si>
  <si>
    <t>nD65</t>
  </si>
  <si>
    <t>nD75</t>
  </si>
  <si>
    <t>nD85</t>
  </si>
  <si>
    <t>LE</t>
  </si>
  <si>
    <t>QALYs</t>
  </si>
  <si>
    <t>LYs</t>
  </si>
  <si>
    <t>QALE</t>
  </si>
  <si>
    <t>StateCost</t>
  </si>
  <si>
    <t>TransCost</t>
  </si>
  <si>
    <t>TotalCost</t>
  </si>
  <si>
    <t>Total</t>
  </si>
  <si>
    <t>per patient</t>
  </si>
  <si>
    <t>No drug</t>
  </si>
  <si>
    <t xml:space="preserve">Drug </t>
  </si>
  <si>
    <t>ICER</t>
  </si>
  <si>
    <t>diffence</t>
  </si>
  <si>
    <t>Restore</t>
  </si>
  <si>
    <t>Stochastic</t>
  </si>
  <si>
    <t>Coefficent of increase for probability of entering the progressive disease state</t>
  </si>
  <si>
    <t>low</t>
  </si>
  <si>
    <t>high</t>
  </si>
  <si>
    <t>Analysis</t>
  </si>
  <si>
    <t>difference</t>
  </si>
  <si>
    <t>cAsympLow</t>
  </si>
  <si>
    <t>Created by Andrew Briggs on 05/03/98
Modified by Andrew Briggs on 05/03/98</t>
  </si>
  <si>
    <t>cAsympHigh</t>
  </si>
  <si>
    <t>Created by Andrew Briggs on 05/03/98</t>
  </si>
  <si>
    <t>cDeathLow</t>
  </si>
  <si>
    <t>cDeathHigh</t>
  </si>
  <si>
    <t>cDrugLow</t>
  </si>
  <si>
    <t>cDrugHigh</t>
  </si>
  <si>
    <t>cmDeathLow</t>
  </si>
  <si>
    <t>cmDeathHigh</t>
  </si>
  <si>
    <t>cProgLow</t>
  </si>
  <si>
    <t>cProgHigh</t>
  </si>
  <si>
    <t>effLow</t>
  </si>
  <si>
    <t>effHigh</t>
  </si>
  <si>
    <t>progLow</t>
  </si>
  <si>
    <t>progHigh</t>
  </si>
  <si>
    <t>uAsympLow</t>
  </si>
  <si>
    <t>uAsympHigh</t>
  </si>
  <si>
    <t>uProgLow</t>
  </si>
  <si>
    <t>uProgHigh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</si>
  <si>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</si>
  <si>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</si>
  <si>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</si>
  <si>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</si>
  <si>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</si>
  <si>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</si>
  <si>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</si>
  <si>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costdiff</t>
  </si>
  <si>
    <t>effectdiff</t>
  </si>
  <si>
    <t>worst-case</t>
  </si>
  <si>
    <t>best-case</t>
  </si>
  <si>
    <t>stdev</t>
  </si>
  <si>
    <t>median</t>
  </si>
  <si>
    <t>min</t>
  </si>
  <si>
    <t>max</t>
  </si>
  <si>
    <t>effect</t>
  </si>
  <si>
    <t>tpProg</t>
  </si>
  <si>
    <t>Natural death risk for over 35's (from standard life-tables)</t>
  </si>
  <si>
    <t>Natural death risk for over 45's (from standard life-tables)</t>
  </si>
  <si>
    <t>Natural death risk for over 55's (from standard life-tables)</t>
  </si>
  <si>
    <t>Natural death risk for over 65's (from standard life-tables)</t>
  </si>
  <si>
    <t>Natural death risk for over 75's (from standard life-tables)</t>
  </si>
  <si>
    <t>Natural death risk for over 85's (from standard life-tables)</t>
  </si>
  <si>
    <t>tpDcm</t>
  </si>
  <si>
    <t>for Cost-Effectiveness Modelling of</t>
  </si>
  <si>
    <t>Health Care Interventions</t>
  </si>
  <si>
    <t>Andrew Briggs</t>
  </si>
  <si>
    <t>Health Economics Research Centre</t>
  </si>
  <si>
    <t>University of Oxford</t>
  </si>
  <si>
    <r>
      <t>PharmacoEconomics</t>
    </r>
    <r>
      <rPr>
        <sz val="10"/>
        <rFont val="Arial"/>
      </rPr>
      <t xml:space="preserve"> 1998; </t>
    </r>
    <r>
      <rPr>
        <b/>
        <sz val="10"/>
        <rFont val="Arial"/>
        <family val="2"/>
      </rPr>
      <t>13</t>
    </r>
    <r>
      <rPr>
        <sz val="10"/>
        <rFont val="Arial"/>
      </rPr>
      <t>(4): 397-409.</t>
    </r>
  </si>
  <si>
    <r>
      <t xml:space="preserve">Briggs AH.  Handling uncertainty in cost-effectiveness models.  </t>
    </r>
    <r>
      <rPr>
        <i/>
        <sz val="10"/>
        <rFont val="Arial"/>
        <family val="2"/>
      </rPr>
      <t/>
    </r>
  </si>
  <si>
    <r>
      <t xml:space="preserve">PharmacoEconomics </t>
    </r>
    <r>
      <rPr>
        <sz val="10"/>
        <rFont val="Arial"/>
      </rPr>
      <t>2000 (forthcoming).</t>
    </r>
  </si>
  <si>
    <t xml:space="preserve">The model outlined is the spreadsheet was used to illustrate the principles </t>
  </si>
  <si>
    <t>of Markov modelling and probabilistic sensitivity analysis in the following two papers:</t>
  </si>
  <si>
    <t>The model is made available for non-commercial teaching purposes only.</t>
  </si>
  <si>
    <t>I would be grateful if you could let me have any feedback concerning the use</t>
  </si>
  <si>
    <t>andrew.briggs@ihs.ox.ac.uk</t>
  </si>
  <si>
    <t>est. sd.</t>
  </si>
  <si>
    <t>alpha</t>
  </si>
  <si>
    <t>beta</t>
  </si>
  <si>
    <t>Probabilistic Sensitivity Analysis results</t>
  </si>
  <si>
    <t>Trial</t>
  </si>
  <si>
    <t>inc.Effect</t>
  </si>
  <si>
    <t>inc.Cost</t>
  </si>
  <si>
    <t xml:space="preserve">Note that none of these parameters are </t>
  </si>
  <si>
    <t>included in the probabilisitic analysis</t>
  </si>
  <si>
    <t>Press to run 1,000 simulation trials (recorded from A38 below)</t>
  </si>
  <si>
    <t>of this model (including errors, suggestions, issues of clarity etc.) by email:</t>
  </si>
  <si>
    <t>Markov Modelling and Probabilistic Sensitivity Analysis</t>
  </si>
  <si>
    <t xml:space="preserve">Briggs A, Sculpher M.  Introducing Markov models for economic evaluation. </t>
  </si>
  <si>
    <t>Diagrammatic representation of the Markov Model</t>
  </si>
  <si>
    <t>Model for both interventions</t>
  </si>
  <si>
    <t>Cohort Drug</t>
  </si>
  <si>
    <t>Cohort No Drug</t>
  </si>
  <si>
    <t>rDeath</t>
  </si>
  <si>
    <t>Asymp (Cycle-1)</t>
  </si>
  <si>
    <t>Prog (Cycle-1)</t>
  </si>
  <si>
    <t>Death (Cycle-1)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</si>
</sst>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&quot;£&quot;* #,##0_-;\-&quot;£&quot;* #,##0_-;_-&quot;£&quot;* &quot;-&quot;??_-;_-@_-"/>
    <numFmt numFmtId="165" formatCode="0.000"/>
    <numFmt numFmtId="166" formatCode="0.0000"/>
    <numFmt numFmtId="167" formatCode="0.00000"/>
    <numFmt numFmtId="168" formatCode="&quot;£&quot;#,##0"/>
    <numFmt numFmtId="169" formatCode="0.0%"/>
    <numFmt numFmtId="170" formatCode="_-* #,##0.000_-;\-* #,##0.000_-;_-* &quot;-&quot;??_-;_-@_-"/>
  </numFmts>
  <fonts count="18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b/>
      <sz val="11"/>
      <color indexed="9"/>
      <name val="Arial"/>
    </font>
    <font>
      <b/>
      <sz val="10"/>
      <color indexed="8"/>
      <name val="Arial"/>
    </font>
    <font>
      <b/>
      <sz val="10"/>
      <color indexed="18"/>
      <name val="Arial"/>
    </font>
    <font>
      <sz val="9"/>
      <color indexed="9"/>
      <name val="Arial"/>
    </font>
    <font>
      <sz val="8"/>
      <name val="Arial"/>
      <family val="2"/>
    </font>
    <font>
      <sz val="12"/>
      <name val="Arial"/>
      <family val="2"/>
    </font>
    <font>
      <u/>
      <sz val="10"/>
      <color indexed="12"/>
      <name val="Arial"/>
    </font>
    <font>
      <sz val="10"/>
      <name val="Arial"/>
      <family val="2"/>
    </font>
    <font>
      <b/>
      <sz val="10"/>
      <color indexed="81"/>
      <name val="Tahoma"/>
      <family val="2"/>
    </font>
    <font>
      <b/>
      <sz val="12"/>
      <color indexed="18"/>
      <name val="Arial"/>
      <family val="2"/>
    </font>
    <font>
      <b/>
      <sz val="12"/>
      <color indexed="32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" fillId="5" borderId="5" applyNumberFormat="0" applyFont="0" applyAlignment="0" applyProtection="0"/>
  </cellStyleXfs>
  <cellXfs count="60">
    <xf numFmtId="0" fontId="0" fillId="0" borderId="0" xfId="0"/>
    <xf numFmtId="0" fontId="2" fillId="0" borderId="0" xfId="0" applyFont="1"/>
    <xf numFmtId="0" fontId="3" fillId="0" borderId="0" xfId="0" applyFont="1"/>
    <xf numFmtId="9" fontId="0" fillId="0" borderId="0" xfId="0" applyNumberFormat="1"/>
    <xf numFmtId="0" fontId="4" fillId="0" borderId="0" xfId="0" applyFont="1"/>
    <xf numFmtId="164" fontId="0" fillId="0" borderId="0" xfId="2" applyNumberFormat="1" applyFont="1"/>
    <xf numFmtId="1" fontId="0" fillId="0" borderId="0" xfId="0" applyNumberFormat="1"/>
    <xf numFmtId="43" fontId="0" fillId="0" borderId="0" xfId="1" applyFont="1"/>
    <xf numFmtId="2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0" fontId="6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0" fillId="0" borderId="3" xfId="0" applyFill="1" applyBorder="1" applyAlignment="1"/>
    <xf numFmtId="0" fontId="7" fillId="3" borderId="0" xfId="0" applyFont="1" applyFill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/>
    </xf>
    <xf numFmtId="0" fontId="9" fillId="2" borderId="2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0" fillId="4" borderId="0" xfId="0" applyFill="1" applyBorder="1" applyAlignment="1"/>
    <xf numFmtId="9" fontId="0" fillId="4" borderId="0" xfId="0" applyNumberFormat="1" applyFill="1" applyBorder="1" applyAlignment="1"/>
    <xf numFmtId="0" fontId="10" fillId="0" borderId="0" xfId="0" applyFont="1" applyFill="1" applyBorder="1" applyAlignment="1">
      <alignment vertical="top" wrapText="1"/>
    </xf>
    <xf numFmtId="164" fontId="0" fillId="0" borderId="0" xfId="0" applyNumberFormat="1" applyFill="1" applyBorder="1" applyAlignment="1"/>
    <xf numFmtId="43" fontId="0" fillId="0" borderId="0" xfId="0" applyNumberFormat="1" applyFill="1" applyBorder="1" applyAlignment="1"/>
    <xf numFmtId="164" fontId="0" fillId="0" borderId="4" xfId="0" applyNumberFormat="1" applyFill="1" applyBorder="1" applyAlignment="1"/>
    <xf numFmtId="0" fontId="2" fillId="0" borderId="0" xfId="0" applyFont="1" applyAlignment="1">
      <alignment horizontal="right"/>
    </xf>
    <xf numFmtId="168" fontId="0" fillId="0" borderId="0" xfId="0" applyNumberFormat="1"/>
    <xf numFmtId="168" fontId="5" fillId="0" borderId="0" xfId="0" applyNumberFormat="1" applyFont="1"/>
    <xf numFmtId="10" fontId="0" fillId="0" borderId="0" xfId="0" applyNumberFormat="1"/>
    <xf numFmtId="166" fontId="0" fillId="0" borderId="0" xfId="0" applyNumberFormat="1"/>
    <xf numFmtId="169" fontId="0" fillId="0" borderId="0" xfId="4" applyNumberFormat="1" applyFont="1"/>
    <xf numFmtId="170" fontId="0" fillId="0" borderId="0" xfId="1" applyNumberFormat="1" applyFont="1"/>
    <xf numFmtId="167" fontId="0" fillId="0" borderId="0" xfId="0" applyNumberFormat="1"/>
    <xf numFmtId="43" fontId="0" fillId="0" borderId="0" xfId="1" applyFont="1" applyBorder="1"/>
    <xf numFmtId="168" fontId="0" fillId="0" borderId="0" xfId="0" applyNumberFormat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12" fillId="0" borderId="0" xfId="3" applyAlignment="1" applyProtection="1">
      <alignment horizontal="center"/>
    </xf>
    <xf numFmtId="0" fontId="13" fillId="0" borderId="0" xfId="0" applyFont="1"/>
    <xf numFmtId="0" fontId="15" fillId="0" borderId="0" xfId="0" applyFont="1"/>
    <xf numFmtId="0" fontId="0" fillId="0" borderId="0" xfId="0" applyBorder="1"/>
    <xf numFmtId="2" fontId="13" fillId="5" borderId="5" xfId="5" applyNumberFormat="1" applyFont="1" applyAlignment="1">
      <alignment horizontal="right"/>
    </xf>
    <xf numFmtId="0" fontId="0" fillId="5" borderId="5" xfId="5" applyFont="1"/>
    <xf numFmtId="9" fontId="0" fillId="5" borderId="5" xfId="5" applyNumberFormat="1" applyFont="1"/>
    <xf numFmtId="165" fontId="0" fillId="5" borderId="5" xfId="5" applyNumberFormat="1" applyFont="1"/>
    <xf numFmtId="2" fontId="0" fillId="5" borderId="5" xfId="5" applyNumberFormat="1" applyFont="1"/>
    <xf numFmtId="1" fontId="0" fillId="5" borderId="5" xfId="5" applyNumberFormat="1" applyFont="1"/>
    <xf numFmtId="0" fontId="16" fillId="0" borderId="0" xfId="0" applyFont="1"/>
    <xf numFmtId="0" fontId="0" fillId="0" borderId="1" xfId="0" applyBorder="1"/>
    <xf numFmtId="0" fontId="2" fillId="0" borderId="1" xfId="0" applyFont="1" applyBorder="1"/>
    <xf numFmtId="0" fontId="3" fillId="0" borderId="0" xfId="0" applyFont="1" applyFill="1"/>
    <xf numFmtId="0" fontId="0" fillId="0" borderId="0" xfId="0" applyFill="1"/>
    <xf numFmtId="0" fontId="2" fillId="0" borderId="0" xfId="0" applyFont="1" applyFill="1"/>
    <xf numFmtId="0" fontId="0" fillId="0" borderId="5" xfId="5" applyFont="1" applyFill="1"/>
    <xf numFmtId="2" fontId="0" fillId="0" borderId="0" xfId="0" applyNumberFormat="1" applyFill="1"/>
  </cellXfs>
  <cellStyles count="6">
    <cellStyle name="Comma" xfId="1" builtinId="3"/>
    <cellStyle name="Currency" xfId="2" builtinId="4"/>
    <cellStyle name="Hyperlink" xfId="3" builtinId="8"/>
    <cellStyle name="Normal" xfId="0" builtinId="0"/>
    <cellStyle name="Note" xfId="5" builtinId="10"/>
    <cellStyle name="Percent" xfId="4" builtinId="5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Model'!$U$5:$U$50</c:f>
              <c:numCache>
                <c:formatCode>0</c:formatCode>
                <c:ptCount val="46"/>
                <c:pt idx="0">
                  <c:v>1000</c:v>
                </c:pt>
                <c:pt idx="1">
                  <c:v>981.2</c:v>
                </c:pt>
                <c:pt idx="2">
                  <c:v>957.84744000000001</c:v>
                </c:pt>
                <c:pt idx="3">
                  <c:v>930.26143372800004</c:v>
                </c:pt>
                <c:pt idx="4">
                  <c:v>898.8185972679936</c:v>
                </c:pt>
                <c:pt idx="5">
                  <c:v>863.94443569399539</c:v>
                </c:pt>
                <c:pt idx="6">
                  <c:v>826.1036694105984</c:v>
                </c:pt>
                <c:pt idx="7">
                  <c:v>785.7898103433613</c:v>
                </c:pt>
                <c:pt idx="8">
                  <c:v>743.51431854688838</c:v>
                </c:pt>
                <c:pt idx="9">
                  <c:v>699.79567661633132</c:v>
                </c:pt>
                <c:pt idx="10">
                  <c:v>655.14871244820938</c:v>
                </c:pt>
                <c:pt idx="11">
                  <c:v>594.28539706177082</c:v>
                </c:pt>
                <c:pt idx="12">
                  <c:v>536.10485668942351</c:v>
                </c:pt>
                <c:pt idx="13">
                  <c:v>480.93966693608189</c:v>
                </c:pt>
                <c:pt idx="14">
                  <c:v>429.04627687367855</c:v>
                </c:pt>
                <c:pt idx="15">
                  <c:v>380.60695221464027</c:v>
                </c:pt>
                <c:pt idx="16">
                  <c:v>335.7333925485342</c:v>
                </c:pt>
                <c:pt idx="17">
                  <c:v>294.47175860431946</c:v>
                </c:pt>
                <c:pt idx="18">
                  <c:v>256.80882067882692</c:v>
                </c:pt>
                <c:pt idx="19">
                  <c:v>222.67892841061087</c:v>
                </c:pt>
                <c:pt idx="20">
                  <c:v>191.97150418278773</c:v>
                </c:pt>
                <c:pt idx="21">
                  <c:v>154.30669506212473</c:v>
                </c:pt>
                <c:pt idx="22">
                  <c:v>123.26018801562532</c:v>
                </c:pt>
                <c:pt idx="23">
                  <c:v>97.843937246803421</c:v>
                </c:pt>
                <c:pt idx="24">
                  <c:v>77.179297700278426</c:v>
                </c:pt>
                <c:pt idx="25">
                  <c:v>60.493133537478229</c:v>
                </c:pt>
                <c:pt idx="26">
                  <c:v>47.112052398988112</c:v>
                </c:pt>
                <c:pt idx="27">
                  <c:v>36.455306146336966</c:v>
                </c:pt>
                <c:pt idx="28">
                  <c:v>28.026839365303886</c:v>
                </c:pt>
                <c:pt idx="29">
                  <c:v>21.406899907219099</c:v>
                </c:pt>
                <c:pt idx="30">
                  <c:v>16.243555649597852</c:v>
                </c:pt>
                <c:pt idx="31">
                  <c:v>10.545316327718979</c:v>
                </c:pt>
                <c:pt idx="32">
                  <c:v>6.7932927783165269</c:v>
                </c:pt>
                <c:pt idx="33">
                  <c:v>4.3422727438999118</c:v>
                </c:pt>
                <c:pt idx="34">
                  <c:v>2.7538693741813631</c:v>
                </c:pt>
                <c:pt idx="35">
                  <c:v>1.7327346102348429</c:v>
                </c:pt>
                <c:pt idx="36">
                  <c:v>1.0815729437085793</c:v>
                </c:pt>
                <c:pt idx="37">
                  <c:v>0.66970996674433536</c:v>
                </c:pt>
                <c:pt idx="38">
                  <c:v>0.41133586157445734</c:v>
                </c:pt>
                <c:pt idx="39">
                  <c:v>0.25058580687118592</c:v>
                </c:pt>
                <c:pt idx="40">
                  <c:v>0.15140394451157135</c:v>
                </c:pt>
                <c:pt idx="41">
                  <c:v>9.0721243551229236E-2</c:v>
                </c:pt>
                <c:pt idx="42">
                  <c:v>5.3906562918200507E-2</c:v>
                </c:pt>
                <c:pt idx="43">
                  <c:v>3.1761746871325158E-2</c:v>
                </c:pt>
                <c:pt idx="44">
                  <c:v>1.855521252230119E-2</c:v>
                </c:pt>
                <c:pt idx="45">
                  <c:v>1.0747179092959414E-2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1-430E-ABFA-6B8511D08502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Model'!$V$5:$V$50</c:f>
              <c:numCache>
                <c:formatCode>0</c:formatCode>
                <c:ptCount val="46"/>
                <c:pt idx="0">
                  <c:v>0</c:v>
                </c:pt>
                <c:pt idx="1">
                  <c:v>5</c:v>
                </c:pt>
                <c:pt idx="2">
                  <c:v>13.993000000000002</c:v>
                </c:pt>
                <c:pt idx="3">
                  <c:v>26.068658200000002</c:v>
                </c:pt>
                <c:pt idx="4">
                  <c:v>40.403840661400004</c:v>
                </c:pt>
                <c:pt idx="5">
                  <c:v>56.256156492762528</c:v>
                </c:pt>
                <c:pt idx="6">
                  <c:v>72.959731130067894</c:v>
                </c:pt>
                <c:pt idx="7">
                  <c:v>89.922555600333709</c:v>
                </c:pt>
                <c:pt idx="8">
                  <c:v>106.62483340673349</c:v>
                </c:pt>
                <c:pt idx="9">
                  <c:v>122.61783002932052</c:v>
                </c:pt>
                <c:pt idx="10">
                  <c:v>137.52281330133437</c:v>
                </c:pt>
                <c:pt idx="11">
                  <c:v>147.71545586666514</c:v>
                </c:pt>
                <c:pt idx="12">
                  <c:v>155.61684553302499</c:v>
                </c:pt>
                <c:pt idx="13">
                  <c:v>161.22325594218211</c:v>
                </c:pt>
                <c:pt idx="14">
                  <c:v>164.59518283617183</c:v>
                </c:pt>
                <c:pt idx="15">
                  <c:v>165.84621874678103</c:v>
                </c:pt>
                <c:pt idx="16">
                  <c:v>165.13227042143208</c:v>
                </c:pt>
                <c:pt idx="17">
                  <c:v>162.64125517587041</c:v>
                </c:pt>
                <c:pt idx="18">
                  <c:v>158.58342160271309</c:v>
                </c:pt>
                <c:pt idx="19">
                  <c:v>153.18243464805184</c:v>
                </c:pt>
                <c:pt idx="20">
                  <c:v>146.66734801874395</c:v>
                </c:pt>
                <c:pt idx="21">
                  <c:v>131.4481916158156</c:v>
                </c:pt>
                <c:pt idx="22">
                  <c:v>116.71662425491459</c:v>
                </c:pt>
                <c:pt idx="23">
                  <c:v>102.73949610642609</c:v>
                </c:pt>
                <c:pt idx="24">
                  <c:v>89.700002115172509</c:v>
                </c:pt>
                <c:pt idx="25">
                  <c:v>77.7117738175277</c:v>
                </c:pt>
                <c:pt idx="26">
                  <c:v>66.831801332612187</c:v>
                </c:pt>
                <c:pt idx="27">
                  <c:v>57.072097925049519</c:v>
                </c:pt>
                <c:pt idx="28">
                  <c:v>48.410050766014741</c:v>
                </c:pt>
                <c:pt idx="29">
                  <c:v>40.797438229221044</c:v>
                </c:pt>
                <c:pt idx="30">
                  <c:v>34.168131114415786</c:v>
                </c:pt>
                <c:pt idx="31">
                  <c:v>24.870542500738473</c:v>
                </c:pt>
                <c:pt idx="32">
                  <c:v>17.957559516418147</c:v>
                </c:pt>
                <c:pt idx="33">
                  <c:v>12.868728744062979</c:v>
                </c:pt>
                <c:pt idx="34">
                  <c:v>9.1569087108289864</c:v>
                </c:pt>
                <c:pt idx="35">
                  <c:v>6.4723768191060618</c:v>
                </c:pt>
                <c:pt idx="36">
                  <c:v>4.5461211449014574</c:v>
                </c:pt>
                <c:pt idx="37">
                  <c:v>3.1741634475806206</c:v>
                </c:pt>
                <c:pt idx="38">
                  <c:v>2.2037826210886657</c:v>
                </c:pt>
                <c:pt idx="39">
                  <c:v>1.5219250837232243</c:v>
                </c:pt>
                <c:pt idx="40">
                  <c:v>1.0457605511459707</c:v>
                </c:pt>
                <c:pt idx="41">
                  <c:v>0.71517436118456612</c:v>
                </c:pt>
                <c:pt idx="42">
                  <c:v>0.48691852823270126</c:v>
                </c:pt>
                <c:pt idx="43">
                  <c:v>0.33013201219724631</c:v>
                </c:pt>
                <c:pt idx="44">
                  <c:v>0.22295994669113006</c:v>
                </c:pt>
                <c:pt idx="45">
                  <c:v>0.15003531994285507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11-430E-ABFA-6B8511D08502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Model'!$W$5:$W$50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28.159559999999999</c:v>
                </c:pt>
                <c:pt idx="3">
                  <c:v>43.669908071999998</c:v>
                </c:pt>
                <c:pt idx="4">
                  <c:v>60.7775620706064</c:v>
                </c:pt>
                <c:pt idx="5">
                  <c:v>79.799407813242027</c:v>
                </c:pt>
                <c:pt idx="6">
                  <c:v>100.93659945933368</c:v>
                </c:pt>
                <c:pt idx="7">
                  <c:v>124.28763405630505</c:v>
                </c:pt>
                <c:pt idx="8">
                  <c:v>149.86084804637809</c:v>
                </c:pt>
                <c:pt idx="9">
                  <c:v>177.58649335434808</c:v>
                </c:pt>
                <c:pt idx="10">
                  <c:v>207.32847425045617</c:v>
                </c:pt>
                <c:pt idx="11">
                  <c:v>257.99914707156404</c:v>
                </c:pt>
                <c:pt idx="12">
                  <c:v>308.27829777755153</c:v>
                </c:pt>
                <c:pt idx="13">
                  <c:v>357.83707712173606</c:v>
                </c:pt>
                <c:pt idx="14">
                  <c:v>406.35854029014962</c:v>
                </c:pt>
                <c:pt idx="15">
                  <c:v>453.54682903857872</c:v>
                </c:pt>
                <c:pt idx="16">
                  <c:v>499.13433703003375</c:v>
                </c:pt>
                <c:pt idx="17">
                  <c:v>542.88698621981018</c:v>
                </c:pt>
                <c:pt idx="18">
                  <c:v>584.60775771845999</c:v>
                </c:pt>
                <c:pt idx="19">
                  <c:v>624.13863694133727</c:v>
                </c:pt>
                <c:pt idx="20">
                  <c:v>661.36114779846832</c:v>
                </c:pt>
                <c:pt idx="21">
                  <c:v>714.24511332205964</c:v>
                </c:pt>
                <c:pt idx="22">
                  <c:v>760.02318772946012</c:v>
                </c:pt>
                <c:pt idx="23">
                  <c:v>799.41656664677055</c:v>
                </c:pt>
                <c:pt idx="24">
                  <c:v>833.12070018454904</c:v>
                </c:pt>
                <c:pt idx="25">
                  <c:v>861.79509264499404</c:v>
                </c:pt>
                <c:pt idx="26">
                  <c:v>886.05614626839974</c:v>
                </c:pt>
                <c:pt idx="27">
                  <c:v>906.47259592861349</c:v>
                </c:pt>
                <c:pt idx="28">
                  <c:v>923.56310986868141</c:v>
                </c:pt>
                <c:pt idx="29">
                  <c:v>937.79566186355987</c:v>
                </c:pt>
                <c:pt idx="30">
                  <c:v>949.58831323598633</c:v>
                </c:pt>
                <c:pt idx="31">
                  <c:v>964.58414117154257</c:v>
                </c:pt>
                <c:pt idx="32">
                  <c:v>975.24914770526527</c:v>
                </c:pt>
                <c:pt idx="33">
                  <c:v>982.7889985120371</c:v>
                </c:pt>
                <c:pt idx="34">
                  <c:v>988.08922191498971</c:v>
                </c:pt>
                <c:pt idx="35">
                  <c:v>991.79488857065905</c:v>
                </c:pt>
                <c:pt idx="36">
                  <c:v>994.37230591138996</c:v>
                </c:pt>
                <c:pt idx="37">
                  <c:v>996.156126585675</c:v>
                </c:pt>
                <c:pt idx="38">
                  <c:v>997.38488151733691</c:v>
                </c:pt>
                <c:pt idx="39">
                  <c:v>998.22748910940561</c:v>
                </c:pt>
                <c:pt idx="40">
                  <c:v>998.80283550434251</c:v>
                </c:pt>
                <c:pt idx="41">
                  <c:v>999.19410439526416</c:v>
                </c:pt>
                <c:pt idx="42">
                  <c:v>999.45917490884915</c:v>
                </c:pt>
                <c:pt idx="43">
                  <c:v>999.63810624093139</c:v>
                </c:pt>
                <c:pt idx="44">
                  <c:v>999.75848484078654</c:v>
                </c:pt>
                <c:pt idx="45">
                  <c:v>999.8392175009642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11-430E-ABFA-6B8511D08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6464"/>
        <c:axId val="63888768"/>
      </c:areaChart>
      <c:catAx>
        <c:axId val="6388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87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3888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6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Model'!$D$5:$D$50</c:f>
              <c:numCache>
                <c:formatCode>0</c:formatCode>
                <c:ptCount val="46"/>
                <c:pt idx="0">
                  <c:v>1000</c:v>
                </c:pt>
                <c:pt idx="1">
                  <c:v>990</c:v>
                </c:pt>
                <c:pt idx="2">
                  <c:v>956.53800000000001</c:v>
                </c:pt>
                <c:pt idx="3">
                  <c:v>914.64163559999997</c:v>
                </c:pt>
                <c:pt idx="4">
                  <c:v>865.43391560472003</c:v>
                </c:pt>
                <c:pt idx="5">
                  <c:v>810.2192317891388</c:v>
                </c:pt>
                <c:pt idx="6">
                  <c:v>750.42505248310044</c:v>
                </c:pt>
                <c:pt idx="7">
                  <c:v>687.53943308501664</c:v>
                </c:pt>
                <c:pt idx="8">
                  <c:v>623.04823426164205</c:v>
                </c:pt>
                <c:pt idx="9">
                  <c:v>558.37582754528364</c:v>
                </c:pt>
                <c:pt idx="10">
                  <c:v>494.83265837063033</c:v>
                </c:pt>
                <c:pt idx="11">
                  <c:v>421.6469081976141</c:v>
                </c:pt>
                <c:pt idx="12">
                  <c:v>355.0688613932108</c:v>
                </c:pt>
                <c:pt idx="13">
                  <c:v>295.45279956529083</c:v>
                </c:pt>
                <c:pt idx="14">
                  <c:v>242.89174652262557</c:v>
                </c:pt>
                <c:pt idx="15">
                  <c:v>197.25238735102425</c:v>
                </c:pt>
                <c:pt idx="16">
                  <c:v>158.21613989425657</c:v>
                </c:pt>
                <c:pt idx="17">
                  <c:v>125.32300441024063</c:v>
                </c:pt>
                <c:pt idx="18">
                  <c:v>98.015121749249147</c:v>
                </c:pt>
                <c:pt idx="19">
                  <c:v>75.677475502595257</c:v>
                </c:pt>
                <c:pt idx="20">
                  <c:v>57.67380408052793</c:v>
                </c:pt>
                <c:pt idx="21">
                  <c:v>40.302454291472941</c:v>
                </c:pt>
                <c:pt idx="22">
                  <c:v>27.760330515966643</c:v>
                </c:pt>
                <c:pt idx="23">
                  <c:v>18.843712354238164</c:v>
                </c:pt>
                <c:pt idx="24">
                  <c:v>12.602674822514473</c:v>
                </c:pt>
                <c:pt idx="25">
                  <c:v>8.3026421730723996</c:v>
                </c:pt>
                <c:pt idx="26">
                  <c:v>5.3867542418894345</c:v>
                </c:pt>
                <c:pt idx="27">
                  <c:v>3.4410586097188798</c:v>
                </c:pt>
                <c:pt idx="28">
                  <c:v>2.163737653791145</c:v>
                </c:pt>
                <c:pt idx="29">
                  <c:v>1.338920860166013</c:v>
                </c:pt>
                <c:pt idx="30">
                  <c:v>0.81513501966901458</c:v>
                </c:pt>
                <c:pt idx="31">
                  <c:v>0.40283972672057189</c:v>
                </c:pt>
                <c:pt idx="32">
                  <c:v>0.19505499567810602</c:v>
                </c:pt>
                <c:pt idx="33">
                  <c:v>9.2495078950605603E-2</c:v>
                </c:pt>
                <c:pt idx="34">
                  <c:v>4.2936215648865073E-2</c:v>
                </c:pt>
                <c:pt idx="35">
                  <c:v>1.9501629147612221E-2</c:v>
                </c:pt>
                <c:pt idx="36">
                  <c:v>8.6626236674192114E-3</c:v>
                </c:pt>
                <c:pt idx="37">
                  <c:v>3.7613111962855328E-3</c:v>
                </c:pt>
                <c:pt idx="38">
                  <c:v>1.5955482094796025E-3</c:v>
                </c:pt>
                <c:pt idx="39">
                  <c:v>6.6087606842302193E-4</c:v>
                </c:pt>
                <c:pt idx="40">
                  <c:v>2.6712610690537986E-4</c:v>
                </c:pt>
                <c:pt idx="41">
                  <c:v>1.0530111137541098E-4</c:v>
                </c:pt>
                <c:pt idx="42">
                  <c:v>4.0456686861034541E-5</c:v>
                </c:pt>
                <c:pt idx="43">
                  <c:v>1.5138892308641516E-5</c:v>
                </c:pt>
                <c:pt idx="44">
                  <c:v>5.5135844831966097E-6</c:v>
                </c:pt>
                <c:pt idx="45">
                  <c:v>1.9529117025740561E-6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B-40F8-A9A7-757A32BC2662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Model'!$F$5:$F$50</c:f>
              <c:numCache>
                <c:formatCode>0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28.161999999999999</c:v>
                </c:pt>
                <c:pt idx="3">
                  <c:v>52.245204400000006</c:v>
                </c:pt>
                <c:pt idx="4">
                  <c:v>80.273105343280008</c:v>
                </c:pt>
                <c:pt idx="5">
                  <c:v>110.39606646828673</c:v>
                </c:pt>
                <c:pt idx="6">
                  <c:v>140.92634468812969</c:v>
                </c:pt>
                <c:pt idx="7">
                  <c:v>170.37236310203104</c:v>
                </c:pt>
                <c:pt idx="8">
                  <c:v>197.4685246727197</c:v>
                </c:pt>
                <c:pt idx="9">
                  <c:v>221.19752141487598</c:v>
                </c:pt>
                <c:pt idx="10">
                  <c:v>240.80295016164766</c:v>
                </c:pt>
                <c:pt idx="11">
                  <c:v>249.98766824704339</c:v>
                </c:pt>
                <c:pt idx="12">
                  <c:v>253.61261436713761</c:v>
                </c:pt>
                <c:pt idx="13">
                  <c:v>252.11775610866985</c:v>
                </c:pt>
                <c:pt idx="14">
                  <c:v>246.10822167499148</c:v>
                </c:pt>
                <c:pt idx="15">
                  <c:v>236.29824880065439</c:v>
                </c:pt>
                <c:pt idx="16">
                  <c:v>223.45818982717529</c:v>
                </c:pt>
                <c:pt idx="17">
                  <c:v>208.36713974067266</c:v>
                </c:pt>
                <c:pt idx="18">
                  <c:v>191.77309497724355</c:v>
                </c:pt>
                <c:pt idx="19">
                  <c:v>174.36180356337681</c:v>
                </c:pt>
                <c:pt idx="20">
                  <c:v>156.73471577433736</c:v>
                </c:pt>
                <c:pt idx="21">
                  <c:v>131.04180118647804</c:v>
                </c:pt>
                <c:pt idx="22">
                  <c:v>108.30105868442357</c:v>
                </c:pt>
                <c:pt idx="23">
                  <c:v>88.563719348412917</c:v>
                </c:pt>
                <c:pt idx="24">
                  <c:v>71.724641206592864</c:v>
                </c:pt>
                <c:pt idx="25">
                  <c:v>57.575326453191281</c:v>
                </c:pt>
                <c:pt idx="26">
                  <c:v>45.846844677680359</c:v>
                </c:pt>
                <c:pt idx="27">
                  <c:v>36.243009386734002</c:v>
                </c:pt>
                <c:pt idx="28">
                  <c:v>28.464691933375047</c:v>
                </c:pt>
                <c:pt idx="29">
                  <c:v>22.226492158644415</c:v>
                </c:pt>
                <c:pt idx="30">
                  <c:v>17.267138508029184</c:v>
                </c:pt>
                <c:pt idx="31">
                  <c:v>11.548853868050086</c:v>
                </c:pt>
                <c:pt idx="32">
                  <c:v>7.6841689130289499</c:v>
                </c:pt>
                <c:pt idx="33">
                  <c:v>5.0913514514773137</c:v>
                </c:pt>
                <c:pt idx="34">
                  <c:v>3.3622104463996645</c:v>
                </c:pt>
                <c:pt idx="35">
                  <c:v>2.2145857495117629</c:v>
                </c:pt>
                <c:pt idx="36">
                  <c:v>1.4558025838237356</c:v>
                </c:pt>
                <c:pt idx="37">
                  <c:v>0.95559122109443295</c:v>
                </c:pt>
                <c:pt idx="38">
                  <c:v>0.6265770750945665</c:v>
                </c:pt>
                <c:pt idx="39">
                  <c:v>0.41052898632856244</c:v>
                </c:pt>
                <c:pt idx="40">
                  <c:v>0.26883241328351476</c:v>
                </c:pt>
                <c:pt idx="41">
                  <c:v>0.17597968647390658</c:v>
                </c:pt>
                <c:pt idx="42">
                  <c:v>0.11517013735800735</c:v>
                </c:pt>
                <c:pt idx="43">
                  <c:v>7.5361700234958653E-2</c:v>
                </c:pt>
                <c:pt idx="44">
                  <c:v>4.9308285406325758E-2</c:v>
                </c:pt>
                <c:pt idx="45">
                  <c:v>3.2259961425835752E-2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B-40F8-A9A7-757A32BC2662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Model'!$H$5:$H$50</c:f>
              <c:numCache>
                <c:formatCode>0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15.299999999999999</c:v>
                </c:pt>
                <c:pt idx="3">
                  <c:v>33.113159999999993</c:v>
                </c:pt>
                <c:pt idx="4">
                  <c:v>54.292979051999993</c:v>
                </c:pt>
                <c:pt idx="5">
                  <c:v>79.384701742574407</c:v>
                </c:pt>
                <c:pt idx="6">
                  <c:v>108.6486028287699</c:v>
                </c:pt>
                <c:pt idx="7">
                  <c:v>142.08820381295232</c:v>
                </c:pt>
                <c:pt idx="8">
                  <c:v>179.48324106563823</c:v>
                </c:pt>
                <c:pt idx="9">
                  <c:v>220.42665103984038</c:v>
                </c:pt>
                <c:pt idx="10">
                  <c:v>264.36439146772199</c:v>
                </c:pt>
                <c:pt idx="11">
                  <c:v>328.36542355534249</c:v>
                </c:pt>
                <c:pt idx="12">
                  <c:v>391.31852423965154</c:v>
                </c:pt>
                <c:pt idx="13">
                  <c:v>452.42944432603935</c:v>
                </c:pt>
                <c:pt idx="14">
                  <c:v>511.00003180238298</c:v>
                </c:pt>
                <c:pt idx="15">
                  <c:v>566.44936384832135</c:v>
                </c:pt>
                <c:pt idx="16">
                  <c:v>618.32567027856817</c:v>
                </c:pt>
                <c:pt idx="17">
                  <c:v>666.30985584908672</c:v>
                </c:pt>
                <c:pt idx="18">
                  <c:v>710.21178327350731</c:v>
                </c:pt>
                <c:pt idx="19">
                  <c:v>749.9607209340279</c:v>
                </c:pt>
                <c:pt idx="20">
                  <c:v>785.59148014513471</c:v>
                </c:pt>
                <c:pt idx="21">
                  <c:v>828.65574452204896</c:v>
                </c:pt>
                <c:pt idx="22">
                  <c:v>863.93861079960982</c:v>
                </c:pt>
                <c:pt idx="23">
                  <c:v>892.59256829734898</c:v>
                </c:pt>
                <c:pt idx="24">
                  <c:v>915.67268397089265</c:v>
                </c:pt>
                <c:pt idx="25">
                  <c:v>934.12203137373626</c:v>
                </c:pt>
                <c:pt idx="26">
                  <c:v>948.76640108043023</c:v>
                </c:pt>
                <c:pt idx="27">
                  <c:v>960.31593200354712</c:v>
                </c:pt>
                <c:pt idx="28">
                  <c:v>969.37157041283376</c:v>
                </c:pt>
                <c:pt idx="29">
                  <c:v>976.43458698118957</c:v>
                </c:pt>
                <c:pt idx="30">
                  <c:v>981.91772647230175</c:v>
                </c:pt>
                <c:pt idx="31">
                  <c:v>988.04830640522937</c:v>
                </c:pt>
                <c:pt idx="32">
                  <c:v>992.1207760912929</c:v>
                </c:pt>
                <c:pt idx="33">
                  <c:v>994.8161534695721</c:v>
                </c:pt>
                <c:pt idx="34">
                  <c:v>996.59485333795146</c:v>
                </c:pt>
                <c:pt idx="35">
                  <c:v>997.76591262134059</c:v>
                </c:pt>
                <c:pt idx="36">
                  <c:v>998.53553479250888</c:v>
                </c:pt>
                <c:pt idx="37">
                  <c:v>999.04064746770928</c:v>
                </c:pt>
                <c:pt idx="38">
                  <c:v>999.37182737669593</c:v>
                </c:pt>
                <c:pt idx="39">
                  <c:v>999.58881013760299</c:v>
                </c:pt>
                <c:pt idx="40">
                  <c:v>999.73090046060963</c:v>
                </c:pt>
                <c:pt idx="41">
                  <c:v>999.82391501241477</c:v>
                </c:pt>
                <c:pt idx="42">
                  <c:v>999.88478940595508</c:v>
                </c:pt>
                <c:pt idx="43">
                  <c:v>999.92462316087278</c:v>
                </c:pt>
                <c:pt idx="44">
                  <c:v>999.95068620100915</c:v>
                </c:pt>
                <c:pt idx="45">
                  <c:v>999.96773808566252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B-40F8-A9A7-757A32BC2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8944"/>
        <c:axId val="53140864"/>
      </c:areaChart>
      <c:catAx>
        <c:axId val="53138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408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140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14</xdr:row>
      <xdr:rowOff>123825</xdr:rowOff>
    </xdr:from>
    <xdr:to>
      <xdr:col>7</xdr:col>
      <xdr:colOff>581025</xdr:colOff>
      <xdr:row>23</xdr:row>
      <xdr:rowOff>57150</xdr:rowOff>
    </xdr:to>
    <xdr:sp macro="" textlink="">
      <xdr:nvSpPr>
        <xdr:cNvPr id="1037" name="AutoShape 13">
          <a:extLs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SpPr>
          <a:spLocks/>
        </xdr:cNvSpPr>
      </xdr:nvSpPr>
      <xdr:spPr bwMode="auto">
        <a:xfrm>
          <a:off x="4781550" y="2428875"/>
          <a:ext cx="152400" cy="1428750"/>
        </a:xfrm>
        <a:prstGeom prst="rightBrace">
          <a:avLst>
            <a:gd name="adj1" fmla="val 7812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190500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Probabilistic Sensitivity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0.41975</cdr:x>
      <cdr:y>0.5395</cdr:y>
    </cdr:from>
    <cdr:to>
      <cdr:x>0.4715</cdr:x>
      <cdr:y>0.5835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66181" y="3031855"/>
          <a:ext cx="476652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819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0.3545</cdr:x>
      <cdr:y>0.52275</cdr:y>
    </cdr:from>
    <cdr:to>
      <cdr:x>0.40625</cdr:x>
      <cdr:y>0.56675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65184" y="2937724"/>
          <a:ext cx="476653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2</xdr:row>
      <xdr:rowOff>152400</xdr:rowOff>
    </xdr:from>
    <xdr:to>
      <xdr:col>6</xdr:col>
      <xdr:colOff>371075</xdr:colOff>
      <xdr:row>29</xdr:row>
      <xdr:rowOff>94711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" y="514350"/>
          <a:ext cx="3200000" cy="43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drew.briggs@ihs.ox.ac.uk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26"/>
  <sheetViews>
    <sheetView tabSelected="1" workbookViewId="0">
      <selection activeCell="N36" sqref="N36"/>
    </sheetView>
  </sheetViews>
  <sheetFormatPr defaultRowHeight="12.5" x14ac:dyDescent="0.25"/>
  <sheetData>
    <row r="2" spans="2:5" ht="15.5" x14ac:dyDescent="0.35">
      <c r="E2" s="37" t="s">
        <v>131</v>
      </c>
    </row>
    <row r="3" spans="2:5" ht="15.5" x14ac:dyDescent="0.35">
      <c r="E3" s="37" t="s">
        <v>107</v>
      </c>
    </row>
    <row r="4" spans="2:5" ht="15.5" x14ac:dyDescent="0.35">
      <c r="E4" s="37" t="s">
        <v>108</v>
      </c>
    </row>
    <row r="5" spans="2:5" x14ac:dyDescent="0.25">
      <c r="E5" s="38"/>
    </row>
    <row r="6" spans="2:5" ht="15.5" x14ac:dyDescent="0.35">
      <c r="E6" s="39" t="s">
        <v>109</v>
      </c>
    </row>
    <row r="8" spans="2:5" ht="13" x14ac:dyDescent="0.3">
      <c r="E8" s="40" t="s">
        <v>110</v>
      </c>
    </row>
    <row r="9" spans="2:5" ht="13" x14ac:dyDescent="0.3">
      <c r="E9" s="40" t="s">
        <v>111</v>
      </c>
    </row>
    <row r="12" spans="2:5" x14ac:dyDescent="0.25">
      <c r="B12" t="s">
        <v>115</v>
      </c>
    </row>
    <row r="13" spans="2:5" x14ac:dyDescent="0.25">
      <c r="B13" t="s">
        <v>116</v>
      </c>
    </row>
    <row r="15" spans="2:5" x14ac:dyDescent="0.25">
      <c r="B15" s="43" t="s">
        <v>132</v>
      </c>
    </row>
    <row r="16" spans="2:5" ht="13" x14ac:dyDescent="0.3">
      <c r="B16" s="41" t="s">
        <v>112</v>
      </c>
    </row>
    <row r="18" spans="2:5" ht="13" x14ac:dyDescent="0.3">
      <c r="B18" t="s">
        <v>113</v>
      </c>
    </row>
    <row r="19" spans="2:5" ht="13" x14ac:dyDescent="0.3">
      <c r="B19" s="41" t="s">
        <v>114</v>
      </c>
    </row>
    <row r="21" spans="2:5" x14ac:dyDescent="0.25">
      <c r="B21" t="s">
        <v>117</v>
      </c>
    </row>
    <row r="23" spans="2:5" x14ac:dyDescent="0.25">
      <c r="B23" t="s">
        <v>118</v>
      </c>
    </row>
    <row r="24" spans="2:5" x14ac:dyDescent="0.25">
      <c r="B24" t="s">
        <v>130</v>
      </c>
    </row>
    <row r="26" spans="2:5" x14ac:dyDescent="0.25">
      <c r="E26" s="42" t="s">
        <v>119</v>
      </c>
    </row>
  </sheetData>
  <phoneticPr fontId="0" type="noConversion"/>
  <hyperlinks>
    <hyperlink ref="E26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1037"/>
  <sheetViews>
    <sheetView zoomScaleNormal="100" workbookViewId="0">
      <selection activeCell="H35" sqref="H35"/>
    </sheetView>
  </sheetViews>
  <sheetFormatPr defaultRowHeight="12.5" x14ac:dyDescent="0.25"/>
  <cols>
    <col min="7" max="7" width="10.453125" bestFit="1" customWidth="1"/>
    <col min="9" max="9" width="12.26953125" bestFit="1" customWidth="1"/>
    <col min="12" max="12" width="10.26953125" bestFit="1" customWidth="1"/>
    <col min="13" max="13" width="11.7265625" customWidth="1"/>
    <col min="16" max="16" width="10.54296875" customWidth="1"/>
    <col min="17" max="17" width="10.453125" customWidth="1"/>
  </cols>
  <sheetData>
    <row r="1" spans="1:15" s="2" customFormat="1" ht="15.5" x14ac:dyDescent="0.35">
      <c r="A1" s="52" t="s">
        <v>3</v>
      </c>
      <c r="K1" s="9"/>
      <c r="L1"/>
    </row>
    <row r="2" spans="1:15" ht="13" x14ac:dyDescent="0.3">
      <c r="I2" s="41" t="s">
        <v>129</v>
      </c>
      <c r="K2" s="9"/>
    </row>
    <row r="3" spans="1:15" s="1" customFormat="1" ht="13" x14ac:dyDescent="0.3">
      <c r="A3" s="1" t="s">
        <v>2</v>
      </c>
      <c r="B3" s="1" t="s">
        <v>0</v>
      </c>
      <c r="C3" s="1" t="s">
        <v>1</v>
      </c>
    </row>
    <row r="4" spans="1:15" ht="13" x14ac:dyDescent="0.3">
      <c r="I4" s="1" t="s">
        <v>56</v>
      </c>
      <c r="J4" s="1" t="s">
        <v>59</v>
      </c>
      <c r="K4" s="1" t="s">
        <v>60</v>
      </c>
      <c r="L4" s="1" t="s">
        <v>57</v>
      </c>
      <c r="M4" s="27" t="s">
        <v>120</v>
      </c>
      <c r="N4" s="27" t="s">
        <v>121</v>
      </c>
      <c r="O4" s="27" t="s">
        <v>122</v>
      </c>
    </row>
    <row r="5" spans="1:15" ht="13" x14ac:dyDescent="0.3">
      <c r="A5" t="s">
        <v>4</v>
      </c>
      <c r="B5" s="46">
        <v>500</v>
      </c>
      <c r="C5" s="41" t="s">
        <v>5</v>
      </c>
      <c r="I5">
        <v>500</v>
      </c>
      <c r="J5">
        <v>250</v>
      </c>
      <c r="K5">
        <v>750</v>
      </c>
      <c r="L5" s="6">
        <f ca="1">NORMINV(RAND(),mean,se)</f>
        <v>729.4595288932951</v>
      </c>
      <c r="M5" s="8">
        <f>(K5-J5)/(2*NORMINV(0.975,0,1))</f>
        <v>127.55336423116351</v>
      </c>
    </row>
    <row r="6" spans="1:15" ht="13" x14ac:dyDescent="0.3">
      <c r="A6" t="s">
        <v>6</v>
      </c>
      <c r="B6" s="47">
        <v>1000</v>
      </c>
      <c r="C6" s="41" t="s">
        <v>7</v>
      </c>
      <c r="I6">
        <v>1000</v>
      </c>
      <c r="J6">
        <v>500</v>
      </c>
      <c r="K6">
        <v>1500</v>
      </c>
      <c r="L6" s="6">
        <f ca="1">NORMINV(RAND(),mean,se)</f>
        <v>1041.6215754103594</v>
      </c>
      <c r="M6" s="8">
        <f t="shared" ref="M6:M13" si="0">(K6-J6)/(2*NORMINV(0.975,0,1))</f>
        <v>255.10672846232703</v>
      </c>
    </row>
    <row r="7" spans="1:15" ht="13" x14ac:dyDescent="0.3">
      <c r="A7" t="s">
        <v>10</v>
      </c>
      <c r="B7" s="47">
        <v>1000</v>
      </c>
      <c r="C7" s="41" t="s">
        <v>11</v>
      </c>
      <c r="I7">
        <v>1000</v>
      </c>
      <c r="J7">
        <v>800</v>
      </c>
      <c r="K7">
        <v>1200</v>
      </c>
      <c r="L7" s="6">
        <f ca="1">NORMINV(RAND(),mean,se)</f>
        <v>987.51157390167009</v>
      </c>
      <c r="M7" s="8">
        <f t="shared" si="0"/>
        <v>102.04269138493082</v>
      </c>
    </row>
    <row r="8" spans="1:15" ht="13" x14ac:dyDescent="0.3">
      <c r="A8" t="s">
        <v>106</v>
      </c>
      <c r="B8" s="47">
        <v>0.15</v>
      </c>
      <c r="C8" s="41" t="s">
        <v>13</v>
      </c>
      <c r="I8">
        <v>0.15</v>
      </c>
      <c r="J8" s="8">
        <v>0.1</v>
      </c>
      <c r="K8" s="8">
        <v>0.2</v>
      </c>
      <c r="L8" s="34">
        <f ca="1">BETAINV(RAND(),N8,O8)</f>
        <v>0.14808837669519995</v>
      </c>
      <c r="M8" s="31">
        <f t="shared" si="0"/>
        <v>2.5510672846232704E-2</v>
      </c>
      <c r="N8" s="6">
        <f>(mean^2)*(1-mean)/(se^2)</f>
        <v>29.387159978310045</v>
      </c>
      <c r="O8" s="6">
        <f>mean*(1-mean)/(se^2)-alpha</f>
        <v>166.52723987709024</v>
      </c>
    </row>
    <row r="9" spans="1:15" ht="13" x14ac:dyDescent="0.3">
      <c r="A9" t="s">
        <v>14</v>
      </c>
      <c r="B9" s="47">
        <v>3000</v>
      </c>
      <c r="C9" s="41" t="s">
        <v>15</v>
      </c>
      <c r="I9">
        <v>3000</v>
      </c>
      <c r="J9">
        <v>2000</v>
      </c>
      <c r="K9">
        <v>4000</v>
      </c>
      <c r="L9" s="6">
        <f ca="1">NORMINV(RAND(),mean,se)</f>
        <v>2815.4682804110944</v>
      </c>
      <c r="M9" s="8">
        <f t="shared" si="0"/>
        <v>510.21345692465405</v>
      </c>
      <c r="N9" s="6"/>
      <c r="O9" s="6"/>
    </row>
    <row r="10" spans="1:15" ht="13" x14ac:dyDescent="0.3">
      <c r="A10" t="s">
        <v>98</v>
      </c>
      <c r="B10" s="48">
        <v>0.5</v>
      </c>
      <c r="C10" s="41" t="s">
        <v>19</v>
      </c>
      <c r="I10" s="3">
        <v>0.5</v>
      </c>
      <c r="J10" s="3">
        <v>0.4</v>
      </c>
      <c r="K10" s="3">
        <v>0.6</v>
      </c>
      <c r="L10" s="3">
        <f ca="1">NORMINV(RAND(),mean,se)</f>
        <v>0.51647721606457542</v>
      </c>
      <c r="M10" s="31">
        <f t="shared" si="0"/>
        <v>5.1021345692465393E-2</v>
      </c>
      <c r="N10" s="6"/>
      <c r="O10" s="6"/>
    </row>
    <row r="11" spans="1:15" ht="13" x14ac:dyDescent="0.3">
      <c r="A11" t="s">
        <v>99</v>
      </c>
      <c r="B11" s="49">
        <v>0.01</v>
      </c>
      <c r="C11" s="41" t="s">
        <v>58</v>
      </c>
      <c r="I11" s="10">
        <v>0.01</v>
      </c>
      <c r="J11" s="10">
        <v>5.0000000000000001E-3</v>
      </c>
      <c r="K11" s="10">
        <v>1.4999999999999999E-2</v>
      </c>
      <c r="L11" s="34">
        <f ca="1">BETAINV(RAND(),N11,O11)</f>
        <v>7.3252089335288963E-3</v>
      </c>
      <c r="M11" s="31">
        <f t="shared" si="0"/>
        <v>2.55106728462327E-3</v>
      </c>
      <c r="N11" s="6">
        <f>(mean^2)*(1-mean)/(se^2)</f>
        <v>15.212176929948734</v>
      </c>
      <c r="O11" s="6">
        <f>mean*(1-mean)/(se^2)-alpha</f>
        <v>1506.0055160649247</v>
      </c>
    </row>
    <row r="12" spans="1:15" ht="13" x14ac:dyDescent="0.3">
      <c r="A12" t="s">
        <v>24</v>
      </c>
      <c r="B12" s="50">
        <v>0.95</v>
      </c>
      <c r="C12" s="41" t="s">
        <v>25</v>
      </c>
      <c r="I12" s="8">
        <v>0.95</v>
      </c>
      <c r="J12" s="8">
        <v>0.9</v>
      </c>
      <c r="K12" s="8">
        <v>1</v>
      </c>
      <c r="L12" s="34">
        <f ca="1">BETAINV(RAND(),N12,O12)</f>
        <v>0.92686229223975525</v>
      </c>
      <c r="M12" s="31">
        <f t="shared" si="0"/>
        <v>2.5510672846232697E-2</v>
      </c>
      <c r="N12" s="6">
        <f>(mean^2)*(1-mean)/(se^2)</f>
        <v>69.33833171352903</v>
      </c>
      <c r="O12" s="6">
        <f>mean*(1-mean)/(se^2)-alpha</f>
        <v>3.6493858796594196</v>
      </c>
    </row>
    <row r="13" spans="1:15" ht="13" x14ac:dyDescent="0.3">
      <c r="A13" t="s">
        <v>26</v>
      </c>
      <c r="B13" s="47">
        <v>0.75</v>
      </c>
      <c r="C13" s="41" t="s">
        <v>27</v>
      </c>
      <c r="I13">
        <v>0.75</v>
      </c>
      <c r="J13">
        <v>0.6</v>
      </c>
      <c r="K13">
        <v>0.9</v>
      </c>
      <c r="L13" s="34">
        <f ca="1">BETAINV(RAND(),N13,O13)</f>
        <v>0.60830445628190155</v>
      </c>
      <c r="M13" s="31">
        <f t="shared" si="0"/>
        <v>7.6532018538698121E-2</v>
      </c>
      <c r="N13" s="6">
        <f>(mean^2)*(1-mean)/(se^2)</f>
        <v>24.009117629338263</v>
      </c>
      <c r="O13" s="6">
        <f>mean*(1-mean)/(se^2)-alpha</f>
        <v>8.0030392097794234</v>
      </c>
    </row>
    <row r="14" spans="1:15" ht="13" x14ac:dyDescent="0.3">
      <c r="B14" s="45"/>
      <c r="C14" s="41"/>
    </row>
    <row r="15" spans="1:15" ht="15.5" x14ac:dyDescent="0.35">
      <c r="A15" t="s">
        <v>16</v>
      </c>
      <c r="B15" s="47">
        <v>1</v>
      </c>
      <c r="C15" s="41" t="s">
        <v>17</v>
      </c>
      <c r="I15" s="2"/>
      <c r="J15" s="2"/>
      <c r="L15" s="3"/>
    </row>
    <row r="16" spans="1:15" ht="13" x14ac:dyDescent="0.3">
      <c r="A16" t="s">
        <v>20</v>
      </c>
      <c r="B16" s="47">
        <v>55</v>
      </c>
      <c r="C16" s="41" t="s">
        <v>28</v>
      </c>
    </row>
    <row r="17" spans="1:14" ht="13" x14ac:dyDescent="0.3">
      <c r="A17" t="s">
        <v>8</v>
      </c>
      <c r="B17" s="48">
        <v>0.06</v>
      </c>
      <c r="C17" s="41" t="s">
        <v>9</v>
      </c>
      <c r="I17" s="1"/>
      <c r="J17" s="1"/>
    </row>
    <row r="18" spans="1:14" ht="13" x14ac:dyDescent="0.3">
      <c r="A18" t="s">
        <v>21</v>
      </c>
      <c r="B18" s="48">
        <v>0.06</v>
      </c>
      <c r="C18" s="41" t="s">
        <v>22</v>
      </c>
    </row>
    <row r="19" spans="1:14" ht="13" x14ac:dyDescent="0.3">
      <c r="A19" t="s">
        <v>37</v>
      </c>
      <c r="B19" s="47">
        <v>1.6999999999999999E-3</v>
      </c>
      <c r="C19" s="41" t="s">
        <v>100</v>
      </c>
      <c r="I19" t="s">
        <v>127</v>
      </c>
      <c r="L19" s="28"/>
      <c r="M19" s="28"/>
      <c r="N19" s="33"/>
    </row>
    <row r="20" spans="1:14" ht="13" x14ac:dyDescent="0.3">
      <c r="A20" t="s">
        <v>38</v>
      </c>
      <c r="B20" s="47">
        <v>4.4000000000000003E-3</v>
      </c>
      <c r="C20" s="41" t="s">
        <v>101</v>
      </c>
      <c r="I20" t="s">
        <v>128</v>
      </c>
      <c r="L20" s="28"/>
      <c r="M20" s="28"/>
      <c r="N20" s="33"/>
    </row>
    <row r="21" spans="1:14" ht="13" x14ac:dyDescent="0.3">
      <c r="A21" t="s">
        <v>39</v>
      </c>
      <c r="B21" s="47">
        <v>1.38E-2</v>
      </c>
      <c r="C21" s="41" t="s">
        <v>102</v>
      </c>
      <c r="L21" s="28"/>
      <c r="M21" s="28"/>
      <c r="N21" s="33"/>
    </row>
    <row r="22" spans="1:14" ht="13" x14ac:dyDescent="0.3">
      <c r="A22" t="s">
        <v>40</v>
      </c>
      <c r="B22" s="47">
        <v>3.7900000000000003E-2</v>
      </c>
      <c r="C22" s="41" t="s">
        <v>103</v>
      </c>
      <c r="K22" s="31"/>
      <c r="L22" s="28"/>
      <c r="M22" s="28"/>
      <c r="N22" s="33"/>
    </row>
    <row r="23" spans="1:14" ht="13" x14ac:dyDescent="0.3">
      <c r="A23" t="s">
        <v>41</v>
      </c>
      <c r="B23" s="47">
        <v>9.1200000000000003E-2</v>
      </c>
      <c r="C23" s="41" t="s">
        <v>104</v>
      </c>
      <c r="L23" s="28"/>
      <c r="M23" s="28"/>
      <c r="N23" s="33"/>
    </row>
    <row r="24" spans="1:14" ht="13" x14ac:dyDescent="0.3">
      <c r="A24" t="s">
        <v>42</v>
      </c>
      <c r="B24" s="47">
        <v>0.1958</v>
      </c>
      <c r="C24" s="41" t="s">
        <v>105</v>
      </c>
      <c r="J24" s="3"/>
      <c r="K24" s="32"/>
      <c r="L24" s="28"/>
      <c r="M24" s="28"/>
      <c r="N24" s="33"/>
    </row>
    <row r="25" spans="1:14" x14ac:dyDescent="0.25">
      <c r="J25" s="10"/>
      <c r="K25" s="31"/>
      <c r="L25" s="28"/>
      <c r="M25" s="28"/>
      <c r="N25" s="33"/>
    </row>
    <row r="26" spans="1:14" x14ac:dyDescent="0.25">
      <c r="J26" s="8"/>
      <c r="K26" s="31"/>
      <c r="L26" s="28"/>
      <c r="M26" s="28"/>
      <c r="N26" s="33"/>
    </row>
    <row r="27" spans="1:14" x14ac:dyDescent="0.25">
      <c r="K27" s="31"/>
      <c r="L27" s="28"/>
      <c r="M27" s="28"/>
      <c r="N27" s="33"/>
    </row>
    <row r="28" spans="1:14" ht="15.5" x14ac:dyDescent="0.35">
      <c r="A28" s="2" t="s">
        <v>61</v>
      </c>
      <c r="M28" s="4"/>
    </row>
    <row r="30" spans="1:14" ht="13" x14ac:dyDescent="0.3">
      <c r="A30" s="1" t="s">
        <v>29</v>
      </c>
      <c r="B30" s="1" t="s">
        <v>31</v>
      </c>
      <c r="C30" s="1" t="s">
        <v>30</v>
      </c>
      <c r="M30" s="4"/>
    </row>
    <row r="31" spans="1:14" x14ac:dyDescent="0.25">
      <c r="A31" t="s">
        <v>52</v>
      </c>
      <c r="B31" s="7" t="e">
        <f>'Markov Model'!#REF!</f>
        <v>#REF!</v>
      </c>
      <c r="C31" s="5">
        <f>'Markov Model'!B60</f>
        <v>9393.9054363782525</v>
      </c>
    </row>
    <row r="32" spans="1:14" x14ac:dyDescent="0.25">
      <c r="A32" t="s">
        <v>53</v>
      </c>
      <c r="B32" s="7" t="e">
        <f>'Markov Model'!#REF!</f>
        <v>#REF!</v>
      </c>
      <c r="C32" s="5">
        <f>'Markov Model'!B61</f>
        <v>16155.440438662308</v>
      </c>
      <c r="L32" s="5"/>
    </row>
    <row r="33" spans="1:12" ht="13" x14ac:dyDescent="0.3">
      <c r="A33" t="s">
        <v>62</v>
      </c>
      <c r="B33" s="7" t="e">
        <f>'Markov Model'!#REF!</f>
        <v>#REF!</v>
      </c>
      <c r="C33" s="5">
        <f>'Markov Model'!B62</f>
        <v>6761.5350022840557</v>
      </c>
      <c r="D33" s="5" t="e">
        <f>'Markov Model'!B63</f>
        <v>#REF!</v>
      </c>
      <c r="E33" s="1" t="s">
        <v>54</v>
      </c>
      <c r="L33" s="5"/>
    </row>
    <row r="34" spans="1:12" x14ac:dyDescent="0.25">
      <c r="C34" s="5"/>
      <c r="L34" s="5"/>
    </row>
    <row r="35" spans="1:12" ht="13" x14ac:dyDescent="0.3">
      <c r="A35" s="1" t="s">
        <v>123</v>
      </c>
      <c r="L35" s="5"/>
    </row>
    <row r="36" spans="1:12" x14ac:dyDescent="0.25">
      <c r="L36" s="5"/>
    </row>
    <row r="37" spans="1:12" x14ac:dyDescent="0.25">
      <c r="A37" t="s">
        <v>124</v>
      </c>
      <c r="B37" s="3" t="s">
        <v>125</v>
      </c>
      <c r="C37" t="s">
        <v>126</v>
      </c>
      <c r="D37" t="s">
        <v>54</v>
      </c>
      <c r="L37" s="5"/>
    </row>
    <row r="38" spans="1:12" x14ac:dyDescent="0.25">
      <c r="A38">
        <v>1</v>
      </c>
      <c r="B38" s="7"/>
      <c r="C38" s="28"/>
      <c r="D38" s="28"/>
      <c r="F38" s="9" t="s">
        <v>96</v>
      </c>
      <c r="G38" s="28">
        <f>MIN($D$38:$D$1037)</f>
        <v>0</v>
      </c>
      <c r="L38" s="5"/>
    </row>
    <row r="39" spans="1:12" x14ac:dyDescent="0.25">
      <c r="A39">
        <v>2</v>
      </c>
      <c r="B39" s="7"/>
      <c r="C39" s="28"/>
      <c r="D39" s="28"/>
      <c r="F39" s="9" t="s">
        <v>95</v>
      </c>
      <c r="G39" s="28" t="e">
        <f>MEDIAN($D$38:$D$1037)</f>
        <v>#NUM!</v>
      </c>
      <c r="L39" s="5"/>
    </row>
    <row r="40" spans="1:12" x14ac:dyDescent="0.25">
      <c r="A40">
        <v>3</v>
      </c>
      <c r="B40" s="7"/>
      <c r="C40" s="28"/>
      <c r="D40" s="28"/>
      <c r="F40" s="9" t="s">
        <v>97</v>
      </c>
      <c r="G40" s="28">
        <f>MAX($D$38:$D$1037)</f>
        <v>0</v>
      </c>
      <c r="L40" s="5"/>
    </row>
    <row r="41" spans="1:12" x14ac:dyDescent="0.25">
      <c r="A41">
        <v>4</v>
      </c>
      <c r="B41" s="7"/>
      <c r="C41" s="28"/>
      <c r="D41" s="28"/>
      <c r="F41" s="9" t="s">
        <v>32</v>
      </c>
      <c r="G41" s="28" t="e">
        <f>AVERAGE($D$38:$D$1037)</f>
        <v>#DIV/0!</v>
      </c>
    </row>
    <row r="42" spans="1:12" x14ac:dyDescent="0.25">
      <c r="A42">
        <v>5</v>
      </c>
      <c r="B42" s="7"/>
      <c r="C42" s="28"/>
      <c r="D42" s="28"/>
      <c r="F42" s="9" t="s">
        <v>94</v>
      </c>
      <c r="G42" s="28" t="e">
        <f>STDEV($D$38:$D$1037)</f>
        <v>#DIV/0!</v>
      </c>
    </row>
    <row r="43" spans="1:12" x14ac:dyDescent="0.25">
      <c r="A43">
        <v>6</v>
      </c>
      <c r="B43" s="7"/>
      <c r="C43" s="28"/>
      <c r="D43" s="28"/>
      <c r="F43" s="30">
        <v>2.5000000000000001E-2</v>
      </c>
      <c r="G43" s="28" t="e">
        <f>PERCENTILE($D$38:$D$1037,0.025)</f>
        <v>#NUM!</v>
      </c>
    </row>
    <row r="44" spans="1:12" x14ac:dyDescent="0.25">
      <c r="A44">
        <v>7</v>
      </c>
      <c r="B44" s="7"/>
      <c r="C44" s="28"/>
      <c r="D44" s="28"/>
      <c r="F44" s="30">
        <v>0.97499999999999998</v>
      </c>
      <c r="G44" s="28" t="e">
        <f>PERCENTILE($D$38:$D$1037,0.975)</f>
        <v>#NUM!</v>
      </c>
    </row>
    <row r="45" spans="1:12" x14ac:dyDescent="0.25">
      <c r="A45">
        <v>8</v>
      </c>
      <c r="B45" s="7"/>
      <c r="C45" s="28"/>
      <c r="D45" s="28"/>
    </row>
    <row r="46" spans="1:12" x14ac:dyDescent="0.25">
      <c r="A46">
        <v>9</v>
      </c>
      <c r="B46" s="7"/>
      <c r="C46" s="28"/>
      <c r="D46" s="28"/>
    </row>
    <row r="47" spans="1:12" x14ac:dyDescent="0.25">
      <c r="A47">
        <v>10</v>
      </c>
      <c r="B47" s="7"/>
      <c r="C47" s="28"/>
      <c r="D47" s="28"/>
    </row>
    <row r="48" spans="1:12" x14ac:dyDescent="0.25">
      <c r="A48">
        <v>11</v>
      </c>
      <c r="B48" s="7"/>
      <c r="C48" s="28"/>
      <c r="D48" s="28"/>
    </row>
    <row r="49" spans="1:5" x14ac:dyDescent="0.25">
      <c r="A49">
        <v>12</v>
      </c>
      <c r="B49" s="7"/>
      <c r="C49" s="28"/>
      <c r="D49" s="28"/>
      <c r="E49" s="4"/>
    </row>
    <row r="50" spans="1:5" x14ac:dyDescent="0.25">
      <c r="A50">
        <v>13</v>
      </c>
      <c r="B50" s="7"/>
      <c r="C50" s="28"/>
      <c r="D50" s="28"/>
    </row>
    <row r="51" spans="1:5" x14ac:dyDescent="0.25">
      <c r="A51">
        <v>14</v>
      </c>
      <c r="B51" s="7"/>
      <c r="C51" s="28"/>
      <c r="D51" s="28"/>
    </row>
    <row r="52" spans="1:5" x14ac:dyDescent="0.25">
      <c r="A52">
        <v>15</v>
      </c>
      <c r="B52" s="7"/>
      <c r="C52" s="28"/>
      <c r="D52" s="28"/>
    </row>
    <row r="53" spans="1:5" x14ac:dyDescent="0.25">
      <c r="A53">
        <v>16</v>
      </c>
      <c r="B53" s="7"/>
      <c r="C53" s="28"/>
      <c r="D53" s="28"/>
    </row>
    <row r="54" spans="1:5" x14ac:dyDescent="0.25">
      <c r="A54">
        <v>17</v>
      </c>
      <c r="B54" s="7"/>
      <c r="C54" s="28"/>
      <c r="D54" s="28"/>
    </row>
    <row r="55" spans="1:5" x14ac:dyDescent="0.25">
      <c r="A55">
        <v>18</v>
      </c>
      <c r="B55" s="7"/>
      <c r="C55" s="28"/>
      <c r="D55" s="28"/>
    </row>
    <row r="56" spans="1:5" x14ac:dyDescent="0.25">
      <c r="A56">
        <v>19</v>
      </c>
      <c r="B56" s="7"/>
      <c r="C56" s="28"/>
      <c r="D56" s="28"/>
    </row>
    <row r="57" spans="1:5" x14ac:dyDescent="0.25">
      <c r="A57">
        <v>20</v>
      </c>
      <c r="B57" s="7"/>
      <c r="C57" s="28"/>
      <c r="D57" s="28"/>
    </row>
    <row r="58" spans="1:5" x14ac:dyDescent="0.25">
      <c r="A58">
        <v>21</v>
      </c>
      <c r="B58" s="7"/>
      <c r="C58" s="28"/>
      <c r="D58" s="28"/>
    </row>
    <row r="59" spans="1:5" x14ac:dyDescent="0.25">
      <c r="A59">
        <v>22</v>
      </c>
      <c r="B59" s="7"/>
      <c r="C59" s="28"/>
      <c r="D59" s="28"/>
    </row>
    <row r="60" spans="1:5" x14ac:dyDescent="0.25">
      <c r="A60">
        <v>23</v>
      </c>
      <c r="B60" s="7"/>
      <c r="C60" s="28"/>
      <c r="D60" s="28"/>
    </row>
    <row r="61" spans="1:5" x14ac:dyDescent="0.25">
      <c r="A61">
        <v>24</v>
      </c>
      <c r="B61" s="7"/>
      <c r="C61" s="28"/>
      <c r="D61" s="28"/>
    </row>
    <row r="62" spans="1:5" x14ac:dyDescent="0.25">
      <c r="A62">
        <v>25</v>
      </c>
      <c r="B62" s="7"/>
      <c r="C62" s="28"/>
      <c r="D62" s="28"/>
    </row>
    <row r="63" spans="1:5" x14ac:dyDescent="0.25">
      <c r="A63">
        <v>26</v>
      </c>
      <c r="B63" s="7"/>
      <c r="C63" s="28"/>
      <c r="D63" s="28"/>
    </row>
    <row r="64" spans="1:5" x14ac:dyDescent="0.25">
      <c r="A64">
        <v>27</v>
      </c>
      <c r="B64" s="7"/>
      <c r="C64" s="28"/>
      <c r="D64" s="28"/>
    </row>
    <row r="65" spans="1:4" x14ac:dyDescent="0.25">
      <c r="A65">
        <v>28</v>
      </c>
      <c r="B65" s="7"/>
      <c r="C65" s="28"/>
      <c r="D65" s="28"/>
    </row>
    <row r="66" spans="1:4" x14ac:dyDescent="0.25">
      <c r="A66">
        <v>29</v>
      </c>
      <c r="B66" s="7"/>
      <c r="C66" s="28"/>
      <c r="D66" s="28"/>
    </row>
    <row r="67" spans="1:4" x14ac:dyDescent="0.25">
      <c r="A67">
        <v>30</v>
      </c>
      <c r="B67" s="7"/>
      <c r="C67" s="28"/>
      <c r="D67" s="28"/>
    </row>
    <row r="68" spans="1:4" x14ac:dyDescent="0.25">
      <c r="A68">
        <v>31</v>
      </c>
      <c r="B68" s="7"/>
      <c r="C68" s="28"/>
      <c r="D68" s="28"/>
    </row>
    <row r="69" spans="1:4" x14ac:dyDescent="0.25">
      <c r="A69">
        <v>32</v>
      </c>
      <c r="B69" s="7"/>
      <c r="C69" s="28"/>
      <c r="D69" s="28"/>
    </row>
    <row r="70" spans="1:4" x14ac:dyDescent="0.25">
      <c r="A70">
        <v>33</v>
      </c>
      <c r="B70" s="7"/>
      <c r="C70" s="28"/>
      <c r="D70" s="28"/>
    </row>
    <row r="71" spans="1:4" x14ac:dyDescent="0.25">
      <c r="A71">
        <v>34</v>
      </c>
      <c r="B71" s="7"/>
      <c r="C71" s="28"/>
      <c r="D71" s="28"/>
    </row>
    <row r="72" spans="1:4" x14ac:dyDescent="0.25">
      <c r="A72">
        <v>35</v>
      </c>
      <c r="B72" s="7"/>
      <c r="C72" s="28"/>
      <c r="D72" s="28"/>
    </row>
    <row r="73" spans="1:4" x14ac:dyDescent="0.25">
      <c r="A73">
        <v>36</v>
      </c>
      <c r="B73" s="7"/>
      <c r="C73" s="28"/>
      <c r="D73" s="28"/>
    </row>
    <row r="74" spans="1:4" x14ac:dyDescent="0.25">
      <c r="A74">
        <v>37</v>
      </c>
      <c r="B74" s="7"/>
      <c r="C74" s="28"/>
      <c r="D74" s="28"/>
    </row>
    <row r="75" spans="1:4" x14ac:dyDescent="0.25">
      <c r="A75">
        <v>38</v>
      </c>
      <c r="B75" s="7"/>
      <c r="C75" s="28"/>
      <c r="D75" s="28"/>
    </row>
    <row r="76" spans="1:4" x14ac:dyDescent="0.25">
      <c r="A76">
        <v>39</v>
      </c>
      <c r="B76" s="7"/>
      <c r="C76" s="28"/>
      <c r="D76" s="28"/>
    </row>
    <row r="77" spans="1:4" x14ac:dyDescent="0.25">
      <c r="A77">
        <v>40</v>
      </c>
      <c r="B77" s="7"/>
      <c r="C77" s="28"/>
      <c r="D77" s="28"/>
    </row>
    <row r="78" spans="1:4" x14ac:dyDescent="0.25">
      <c r="A78">
        <v>41</v>
      </c>
      <c r="B78" s="7"/>
      <c r="C78" s="28"/>
      <c r="D78" s="28"/>
    </row>
    <row r="79" spans="1:4" x14ac:dyDescent="0.25">
      <c r="A79">
        <v>42</v>
      </c>
      <c r="B79" s="7"/>
      <c r="C79" s="28"/>
      <c r="D79" s="28"/>
    </row>
    <row r="80" spans="1:4" x14ac:dyDescent="0.25">
      <c r="A80">
        <v>43</v>
      </c>
      <c r="B80" s="7"/>
      <c r="C80" s="28"/>
      <c r="D80" s="28"/>
    </row>
    <row r="81" spans="1:4" x14ac:dyDescent="0.25">
      <c r="A81">
        <v>44</v>
      </c>
      <c r="B81" s="7"/>
      <c r="C81" s="28"/>
      <c r="D81" s="28"/>
    </row>
    <row r="82" spans="1:4" x14ac:dyDescent="0.25">
      <c r="A82">
        <v>45</v>
      </c>
      <c r="B82" s="7"/>
      <c r="C82" s="28"/>
      <c r="D82" s="28"/>
    </row>
    <row r="83" spans="1:4" x14ac:dyDescent="0.25">
      <c r="A83">
        <v>46</v>
      </c>
      <c r="B83" s="7"/>
      <c r="C83" s="28"/>
      <c r="D83" s="28"/>
    </row>
    <row r="84" spans="1:4" x14ac:dyDescent="0.25">
      <c r="A84">
        <v>47</v>
      </c>
      <c r="B84" s="7"/>
      <c r="C84" s="28"/>
      <c r="D84" s="28"/>
    </row>
    <row r="85" spans="1:4" x14ac:dyDescent="0.25">
      <c r="A85">
        <v>48</v>
      </c>
      <c r="B85" s="7"/>
      <c r="C85" s="28"/>
      <c r="D85" s="28"/>
    </row>
    <row r="86" spans="1:4" x14ac:dyDescent="0.25">
      <c r="A86">
        <v>49</v>
      </c>
      <c r="B86" s="7"/>
      <c r="C86" s="28"/>
      <c r="D86" s="28"/>
    </row>
    <row r="87" spans="1:4" x14ac:dyDescent="0.25">
      <c r="A87">
        <v>50</v>
      </c>
      <c r="B87" s="7"/>
      <c r="C87" s="28"/>
      <c r="D87" s="28"/>
    </row>
    <row r="88" spans="1:4" x14ac:dyDescent="0.25">
      <c r="A88">
        <v>51</v>
      </c>
      <c r="B88" s="7"/>
      <c r="C88" s="28"/>
      <c r="D88" s="28"/>
    </row>
    <row r="89" spans="1:4" x14ac:dyDescent="0.25">
      <c r="A89">
        <v>52</v>
      </c>
      <c r="B89" s="7"/>
      <c r="C89" s="28"/>
      <c r="D89" s="28"/>
    </row>
    <row r="90" spans="1:4" x14ac:dyDescent="0.25">
      <c r="A90">
        <v>53</v>
      </c>
      <c r="B90" s="7"/>
      <c r="C90" s="28"/>
      <c r="D90" s="28"/>
    </row>
    <row r="91" spans="1:4" x14ac:dyDescent="0.25">
      <c r="A91">
        <v>54</v>
      </c>
      <c r="B91" s="35"/>
      <c r="C91" s="36"/>
      <c r="D91" s="36"/>
    </row>
    <row r="92" spans="1:4" x14ac:dyDescent="0.25">
      <c r="A92">
        <v>55</v>
      </c>
      <c r="B92" s="7"/>
      <c r="C92" s="28"/>
      <c r="D92" s="28"/>
    </row>
    <row r="93" spans="1:4" x14ac:dyDescent="0.25">
      <c r="A93">
        <v>56</v>
      </c>
      <c r="B93" s="7"/>
      <c r="C93" s="28"/>
      <c r="D93" s="28"/>
    </row>
    <row r="94" spans="1:4" x14ac:dyDescent="0.25">
      <c r="A94">
        <v>57</v>
      </c>
      <c r="B94" s="7"/>
      <c r="C94" s="28"/>
      <c r="D94" s="28"/>
    </row>
    <row r="95" spans="1:4" x14ac:dyDescent="0.25">
      <c r="A95">
        <v>58</v>
      </c>
      <c r="B95" s="7"/>
      <c r="C95" s="28"/>
      <c r="D95" s="28"/>
    </row>
    <row r="96" spans="1:4" x14ac:dyDescent="0.25">
      <c r="A96">
        <v>59</v>
      </c>
      <c r="B96" s="7"/>
      <c r="C96" s="28"/>
      <c r="D96" s="28"/>
    </row>
    <row r="97" spans="1:4" x14ac:dyDescent="0.25">
      <c r="A97">
        <v>60</v>
      </c>
      <c r="B97" s="7"/>
      <c r="C97" s="28"/>
      <c r="D97" s="28"/>
    </row>
    <row r="98" spans="1:4" x14ac:dyDescent="0.25">
      <c r="A98">
        <v>61</v>
      </c>
      <c r="B98" s="7"/>
      <c r="C98" s="28"/>
      <c r="D98" s="28"/>
    </row>
    <row r="99" spans="1:4" x14ac:dyDescent="0.25">
      <c r="A99">
        <v>62</v>
      </c>
      <c r="B99" s="7"/>
      <c r="C99" s="28"/>
      <c r="D99" s="28"/>
    </row>
    <row r="100" spans="1:4" x14ac:dyDescent="0.25">
      <c r="A100">
        <v>63</v>
      </c>
      <c r="B100" s="7"/>
      <c r="C100" s="28"/>
      <c r="D100" s="28"/>
    </row>
    <row r="101" spans="1:4" x14ac:dyDescent="0.25">
      <c r="A101">
        <v>64</v>
      </c>
      <c r="B101" s="7"/>
      <c r="C101" s="28"/>
      <c r="D101" s="28"/>
    </row>
    <row r="102" spans="1:4" x14ac:dyDescent="0.25">
      <c r="A102">
        <v>65</v>
      </c>
      <c r="B102" s="7"/>
      <c r="C102" s="28"/>
      <c r="D102" s="28"/>
    </row>
    <row r="103" spans="1:4" x14ac:dyDescent="0.25">
      <c r="A103">
        <v>66</v>
      </c>
      <c r="B103" s="7"/>
      <c r="C103" s="28"/>
      <c r="D103" s="28"/>
    </row>
    <row r="104" spans="1:4" x14ac:dyDescent="0.25">
      <c r="A104">
        <v>67</v>
      </c>
      <c r="B104" s="7"/>
      <c r="C104" s="28"/>
      <c r="D104" s="28"/>
    </row>
    <row r="105" spans="1:4" x14ac:dyDescent="0.25">
      <c r="A105">
        <v>68</v>
      </c>
      <c r="B105" s="7"/>
      <c r="C105" s="28"/>
      <c r="D105" s="28"/>
    </row>
    <row r="106" spans="1:4" x14ac:dyDescent="0.25">
      <c r="A106">
        <v>69</v>
      </c>
      <c r="B106" s="7"/>
      <c r="C106" s="28"/>
      <c r="D106" s="28"/>
    </row>
    <row r="107" spans="1:4" x14ac:dyDescent="0.25">
      <c r="A107">
        <v>70</v>
      </c>
      <c r="B107" s="7"/>
      <c r="C107" s="28"/>
      <c r="D107" s="28"/>
    </row>
    <row r="108" spans="1:4" x14ac:dyDescent="0.25">
      <c r="A108">
        <v>71</v>
      </c>
      <c r="B108" s="7"/>
      <c r="C108" s="28"/>
      <c r="D108" s="28"/>
    </row>
    <row r="109" spans="1:4" x14ac:dyDescent="0.25">
      <c r="A109">
        <v>72</v>
      </c>
      <c r="B109" s="7"/>
      <c r="C109" s="28"/>
      <c r="D109" s="28"/>
    </row>
    <row r="110" spans="1:4" x14ac:dyDescent="0.25">
      <c r="A110">
        <v>73</v>
      </c>
      <c r="B110" s="7"/>
      <c r="C110" s="28"/>
      <c r="D110" s="28"/>
    </row>
    <row r="111" spans="1:4" x14ac:dyDescent="0.25">
      <c r="A111">
        <v>74</v>
      </c>
      <c r="B111" s="7"/>
      <c r="C111" s="28"/>
      <c r="D111" s="28"/>
    </row>
    <row r="112" spans="1:4" x14ac:dyDescent="0.25">
      <c r="A112">
        <v>75</v>
      </c>
      <c r="B112" s="35"/>
      <c r="C112" s="36"/>
      <c r="D112" s="36"/>
    </row>
    <row r="113" spans="1:4" x14ac:dyDescent="0.25">
      <c r="A113">
        <v>76</v>
      </c>
      <c r="B113" s="7"/>
      <c r="C113" s="28"/>
      <c r="D113" s="28"/>
    </row>
    <row r="114" spans="1:4" x14ac:dyDescent="0.25">
      <c r="A114">
        <v>77</v>
      </c>
      <c r="B114" s="7"/>
      <c r="C114" s="28"/>
      <c r="D114" s="28"/>
    </row>
    <row r="115" spans="1:4" x14ac:dyDescent="0.25">
      <c r="A115">
        <v>78</v>
      </c>
      <c r="B115" s="7"/>
      <c r="C115" s="28"/>
      <c r="D115" s="28"/>
    </row>
    <row r="116" spans="1:4" x14ac:dyDescent="0.25">
      <c r="A116">
        <v>79</v>
      </c>
      <c r="B116" s="35"/>
      <c r="C116" s="36"/>
      <c r="D116" s="36"/>
    </row>
    <row r="117" spans="1:4" x14ac:dyDescent="0.25">
      <c r="A117">
        <v>80</v>
      </c>
      <c r="B117" s="7"/>
      <c r="C117" s="28"/>
      <c r="D117" s="28"/>
    </row>
    <row r="118" spans="1:4" x14ac:dyDescent="0.25">
      <c r="A118">
        <v>81</v>
      </c>
      <c r="B118" s="7"/>
      <c r="C118" s="28"/>
      <c r="D118" s="28"/>
    </row>
    <row r="119" spans="1:4" x14ac:dyDescent="0.25">
      <c r="A119">
        <v>82</v>
      </c>
      <c r="B119" s="7"/>
      <c r="C119" s="28"/>
      <c r="D119" s="28"/>
    </row>
    <row r="120" spans="1:4" x14ac:dyDescent="0.25">
      <c r="A120">
        <v>83</v>
      </c>
      <c r="B120" s="7"/>
      <c r="C120" s="28"/>
      <c r="D120" s="28"/>
    </row>
    <row r="121" spans="1:4" x14ac:dyDescent="0.25">
      <c r="A121">
        <v>84</v>
      </c>
      <c r="B121" s="7"/>
      <c r="C121" s="28"/>
      <c r="D121" s="28"/>
    </row>
    <row r="122" spans="1:4" x14ac:dyDescent="0.25">
      <c r="A122">
        <v>85</v>
      </c>
      <c r="B122" s="7"/>
      <c r="C122" s="28"/>
      <c r="D122" s="28"/>
    </row>
    <row r="123" spans="1:4" x14ac:dyDescent="0.25">
      <c r="A123">
        <v>86</v>
      </c>
      <c r="B123" s="7"/>
      <c r="C123" s="28"/>
      <c r="D123" s="28"/>
    </row>
    <row r="124" spans="1:4" x14ac:dyDescent="0.25">
      <c r="A124">
        <v>87</v>
      </c>
      <c r="B124" s="7"/>
      <c r="C124" s="28"/>
      <c r="D124" s="28"/>
    </row>
    <row r="125" spans="1:4" x14ac:dyDescent="0.25">
      <c r="A125">
        <v>88</v>
      </c>
      <c r="B125" s="7"/>
      <c r="C125" s="28"/>
      <c r="D125" s="28"/>
    </row>
    <row r="126" spans="1:4" x14ac:dyDescent="0.25">
      <c r="A126">
        <v>89</v>
      </c>
      <c r="B126" s="7"/>
      <c r="C126" s="28"/>
      <c r="D126" s="28"/>
    </row>
    <row r="127" spans="1:4" x14ac:dyDescent="0.25">
      <c r="A127">
        <v>90</v>
      </c>
      <c r="B127" s="7"/>
      <c r="C127" s="28"/>
      <c r="D127" s="28"/>
    </row>
    <row r="128" spans="1:4" x14ac:dyDescent="0.25">
      <c r="A128">
        <v>91</v>
      </c>
      <c r="B128" s="7"/>
      <c r="C128" s="28"/>
      <c r="D128" s="28"/>
    </row>
    <row r="129" spans="1:4" x14ac:dyDescent="0.25">
      <c r="A129">
        <v>92</v>
      </c>
      <c r="B129" s="7"/>
      <c r="C129" s="28"/>
      <c r="D129" s="28"/>
    </row>
    <row r="130" spans="1:4" x14ac:dyDescent="0.25">
      <c r="A130">
        <v>93</v>
      </c>
      <c r="B130" s="7"/>
      <c r="C130" s="28"/>
      <c r="D130" s="28"/>
    </row>
    <row r="131" spans="1:4" x14ac:dyDescent="0.25">
      <c r="A131">
        <v>94</v>
      </c>
      <c r="B131" s="7"/>
      <c r="C131" s="28"/>
      <c r="D131" s="28"/>
    </row>
    <row r="132" spans="1:4" x14ac:dyDescent="0.25">
      <c r="A132">
        <v>95</v>
      </c>
      <c r="B132" s="7"/>
      <c r="C132" s="28"/>
      <c r="D132" s="28"/>
    </row>
    <row r="133" spans="1:4" x14ac:dyDescent="0.25">
      <c r="A133">
        <v>96</v>
      </c>
      <c r="B133" s="7"/>
      <c r="C133" s="28"/>
      <c r="D133" s="28"/>
    </row>
    <row r="134" spans="1:4" x14ac:dyDescent="0.25">
      <c r="A134">
        <v>97</v>
      </c>
      <c r="B134" s="7"/>
      <c r="C134" s="28"/>
      <c r="D134" s="28"/>
    </row>
    <row r="135" spans="1:4" x14ac:dyDescent="0.25">
      <c r="A135">
        <v>98</v>
      </c>
      <c r="B135" s="7"/>
      <c r="C135" s="28"/>
      <c r="D135" s="28"/>
    </row>
    <row r="136" spans="1:4" x14ac:dyDescent="0.25">
      <c r="A136">
        <v>99</v>
      </c>
      <c r="B136" s="7"/>
      <c r="C136" s="28"/>
      <c r="D136" s="28"/>
    </row>
    <row r="137" spans="1:4" x14ac:dyDescent="0.25">
      <c r="A137">
        <v>100</v>
      </c>
      <c r="B137" s="7"/>
      <c r="C137" s="28"/>
      <c r="D137" s="28"/>
    </row>
    <row r="138" spans="1:4" x14ac:dyDescent="0.25">
      <c r="A138">
        <v>101</v>
      </c>
      <c r="B138" s="7"/>
      <c r="C138" s="28"/>
      <c r="D138" s="28"/>
    </row>
    <row r="139" spans="1:4" x14ac:dyDescent="0.25">
      <c r="A139">
        <v>102</v>
      </c>
      <c r="B139" s="7"/>
      <c r="C139" s="28"/>
      <c r="D139" s="28"/>
    </row>
    <row r="140" spans="1:4" x14ac:dyDescent="0.25">
      <c r="A140">
        <v>103</v>
      </c>
      <c r="B140" s="7"/>
      <c r="C140" s="28"/>
      <c r="D140" s="28"/>
    </row>
    <row r="141" spans="1:4" x14ac:dyDescent="0.25">
      <c r="A141">
        <v>104</v>
      </c>
      <c r="B141" s="7"/>
      <c r="C141" s="28"/>
      <c r="D141" s="28"/>
    </row>
    <row r="142" spans="1:4" x14ac:dyDescent="0.25">
      <c r="A142">
        <v>105</v>
      </c>
      <c r="B142" s="7"/>
      <c r="C142" s="28"/>
      <c r="D142" s="28"/>
    </row>
    <row r="143" spans="1:4" x14ac:dyDescent="0.25">
      <c r="A143">
        <v>106</v>
      </c>
      <c r="B143" s="7"/>
      <c r="C143" s="28"/>
      <c r="D143" s="28"/>
    </row>
    <row r="144" spans="1:4" x14ac:dyDescent="0.25">
      <c r="A144">
        <v>107</v>
      </c>
      <c r="B144" s="7"/>
      <c r="C144" s="28"/>
      <c r="D144" s="28"/>
    </row>
    <row r="145" spans="1:4" x14ac:dyDescent="0.25">
      <c r="A145">
        <v>108</v>
      </c>
      <c r="B145" s="7"/>
      <c r="C145" s="28"/>
      <c r="D145" s="28"/>
    </row>
    <row r="146" spans="1:4" x14ac:dyDescent="0.25">
      <c r="A146">
        <v>109</v>
      </c>
      <c r="B146" s="7"/>
      <c r="C146" s="28"/>
      <c r="D146" s="28"/>
    </row>
    <row r="147" spans="1:4" x14ac:dyDescent="0.25">
      <c r="A147">
        <v>110</v>
      </c>
      <c r="B147" s="7"/>
      <c r="C147" s="28"/>
      <c r="D147" s="28"/>
    </row>
    <row r="148" spans="1:4" x14ac:dyDescent="0.25">
      <c r="A148">
        <v>111</v>
      </c>
      <c r="B148" s="7"/>
      <c r="C148" s="28"/>
      <c r="D148" s="28"/>
    </row>
    <row r="149" spans="1:4" x14ac:dyDescent="0.25">
      <c r="A149">
        <v>112</v>
      </c>
      <c r="B149" s="7"/>
      <c r="C149" s="28"/>
      <c r="D149" s="28"/>
    </row>
    <row r="150" spans="1:4" x14ac:dyDescent="0.25">
      <c r="A150">
        <v>113</v>
      </c>
      <c r="B150" s="7"/>
      <c r="C150" s="28"/>
      <c r="D150" s="28"/>
    </row>
    <row r="151" spans="1:4" x14ac:dyDescent="0.25">
      <c r="A151">
        <v>114</v>
      </c>
      <c r="B151" s="7"/>
      <c r="C151" s="28"/>
      <c r="D151" s="28"/>
    </row>
    <row r="152" spans="1:4" x14ac:dyDescent="0.25">
      <c r="A152">
        <v>115</v>
      </c>
      <c r="B152" s="7"/>
      <c r="C152" s="28"/>
      <c r="D152" s="28"/>
    </row>
    <row r="153" spans="1:4" x14ac:dyDescent="0.25">
      <c r="A153">
        <v>116</v>
      </c>
      <c r="B153" s="7"/>
      <c r="C153" s="28"/>
      <c r="D153" s="28"/>
    </row>
    <row r="154" spans="1:4" x14ac:dyDescent="0.25">
      <c r="A154">
        <v>117</v>
      </c>
      <c r="B154" s="7"/>
      <c r="C154" s="28"/>
      <c r="D154" s="28"/>
    </row>
    <row r="155" spans="1:4" x14ac:dyDescent="0.25">
      <c r="A155">
        <v>118</v>
      </c>
      <c r="B155" s="7"/>
      <c r="C155" s="28"/>
      <c r="D155" s="28"/>
    </row>
    <row r="156" spans="1:4" x14ac:dyDescent="0.25">
      <c r="A156">
        <v>119</v>
      </c>
      <c r="B156" s="7"/>
      <c r="C156" s="28"/>
      <c r="D156" s="28"/>
    </row>
    <row r="157" spans="1:4" x14ac:dyDescent="0.25">
      <c r="A157">
        <v>120</v>
      </c>
      <c r="B157" s="7"/>
      <c r="C157" s="28"/>
      <c r="D157" s="28"/>
    </row>
    <row r="158" spans="1:4" x14ac:dyDescent="0.25">
      <c r="A158">
        <v>121</v>
      </c>
      <c r="B158" s="35"/>
      <c r="C158" s="36"/>
      <c r="D158" s="36"/>
    </row>
    <row r="159" spans="1:4" x14ac:dyDescent="0.25">
      <c r="A159">
        <v>122</v>
      </c>
      <c r="B159" s="7"/>
      <c r="C159" s="28"/>
      <c r="D159" s="28"/>
    </row>
    <row r="160" spans="1:4" x14ac:dyDescent="0.25">
      <c r="A160">
        <v>123</v>
      </c>
      <c r="B160" s="7"/>
      <c r="C160" s="28"/>
      <c r="D160" s="28"/>
    </row>
    <row r="161" spans="1:4" x14ac:dyDescent="0.25">
      <c r="A161">
        <v>124</v>
      </c>
      <c r="B161" s="35"/>
      <c r="C161" s="36"/>
      <c r="D161" s="36"/>
    </row>
    <row r="162" spans="1:4" x14ac:dyDescent="0.25">
      <c r="A162">
        <v>125</v>
      </c>
      <c r="B162" s="7"/>
      <c r="C162" s="28"/>
      <c r="D162" s="28"/>
    </row>
    <row r="163" spans="1:4" x14ac:dyDescent="0.25">
      <c r="A163">
        <v>126</v>
      </c>
      <c r="B163" s="7"/>
      <c r="C163" s="28"/>
      <c r="D163" s="28"/>
    </row>
    <row r="164" spans="1:4" x14ac:dyDescent="0.25">
      <c r="A164">
        <v>127</v>
      </c>
      <c r="B164" s="7"/>
      <c r="C164" s="28"/>
      <c r="D164" s="28"/>
    </row>
    <row r="165" spans="1:4" x14ac:dyDescent="0.25">
      <c r="A165">
        <v>128</v>
      </c>
      <c r="B165" s="7"/>
      <c r="C165" s="28"/>
      <c r="D165" s="28"/>
    </row>
    <row r="166" spans="1:4" x14ac:dyDescent="0.25">
      <c r="A166">
        <v>129</v>
      </c>
      <c r="B166" s="7"/>
      <c r="C166" s="28"/>
      <c r="D166" s="28"/>
    </row>
    <row r="167" spans="1:4" x14ac:dyDescent="0.25">
      <c r="A167">
        <v>130</v>
      </c>
      <c r="B167" s="7"/>
      <c r="C167" s="28"/>
      <c r="D167" s="28"/>
    </row>
    <row r="168" spans="1:4" x14ac:dyDescent="0.25">
      <c r="A168">
        <v>131</v>
      </c>
      <c r="B168" s="7"/>
      <c r="C168" s="28"/>
      <c r="D168" s="28"/>
    </row>
    <row r="169" spans="1:4" x14ac:dyDescent="0.25">
      <c r="A169">
        <v>132</v>
      </c>
      <c r="B169" s="7"/>
      <c r="C169" s="28"/>
      <c r="D169" s="28"/>
    </row>
    <row r="170" spans="1:4" x14ac:dyDescent="0.25">
      <c r="A170">
        <v>133</v>
      </c>
      <c r="B170" s="7"/>
      <c r="C170" s="28"/>
      <c r="D170" s="28"/>
    </row>
    <row r="171" spans="1:4" x14ac:dyDescent="0.25">
      <c r="A171">
        <v>134</v>
      </c>
      <c r="B171" s="7"/>
      <c r="C171" s="28"/>
      <c r="D171" s="28"/>
    </row>
    <row r="172" spans="1:4" x14ac:dyDescent="0.25">
      <c r="A172">
        <v>135</v>
      </c>
      <c r="B172" s="7"/>
      <c r="C172" s="28"/>
      <c r="D172" s="28"/>
    </row>
    <row r="173" spans="1:4" x14ac:dyDescent="0.25">
      <c r="A173">
        <v>136</v>
      </c>
      <c r="B173" s="7"/>
      <c r="C173" s="28"/>
      <c r="D173" s="28"/>
    </row>
    <row r="174" spans="1:4" x14ac:dyDescent="0.25">
      <c r="A174">
        <v>137</v>
      </c>
      <c r="B174" s="7"/>
      <c r="C174" s="28"/>
      <c r="D174" s="28"/>
    </row>
    <row r="175" spans="1:4" x14ac:dyDescent="0.25">
      <c r="A175">
        <v>138</v>
      </c>
      <c r="B175" s="7"/>
      <c r="C175" s="28"/>
      <c r="D175" s="28"/>
    </row>
    <row r="176" spans="1:4" x14ac:dyDescent="0.25">
      <c r="A176">
        <v>139</v>
      </c>
      <c r="B176" s="7"/>
      <c r="C176" s="28"/>
      <c r="D176" s="28"/>
    </row>
    <row r="177" spans="1:4" x14ac:dyDescent="0.25">
      <c r="A177">
        <v>140</v>
      </c>
      <c r="B177" s="7"/>
      <c r="C177" s="28"/>
      <c r="D177" s="28"/>
    </row>
    <row r="178" spans="1:4" x14ac:dyDescent="0.25">
      <c r="A178">
        <v>141</v>
      </c>
      <c r="B178" s="7"/>
      <c r="C178" s="28"/>
      <c r="D178" s="28"/>
    </row>
    <row r="179" spans="1:4" x14ac:dyDescent="0.25">
      <c r="A179">
        <v>142</v>
      </c>
      <c r="B179" s="7"/>
      <c r="C179" s="28"/>
      <c r="D179" s="28"/>
    </row>
    <row r="180" spans="1:4" x14ac:dyDescent="0.25">
      <c r="A180">
        <v>143</v>
      </c>
      <c r="B180" s="7"/>
      <c r="C180" s="28"/>
      <c r="D180" s="28"/>
    </row>
    <row r="181" spans="1:4" x14ac:dyDescent="0.25">
      <c r="A181">
        <v>144</v>
      </c>
      <c r="B181" s="7"/>
      <c r="C181" s="28"/>
      <c r="D181" s="28"/>
    </row>
    <row r="182" spans="1:4" x14ac:dyDescent="0.25">
      <c r="A182">
        <v>145</v>
      </c>
      <c r="B182" s="7"/>
      <c r="C182" s="28"/>
      <c r="D182" s="28"/>
    </row>
    <row r="183" spans="1:4" x14ac:dyDescent="0.25">
      <c r="A183">
        <v>146</v>
      </c>
      <c r="B183" s="7"/>
      <c r="C183" s="28"/>
      <c r="D183" s="28"/>
    </row>
    <row r="184" spans="1:4" x14ac:dyDescent="0.25">
      <c r="A184">
        <v>147</v>
      </c>
      <c r="B184" s="7"/>
      <c r="C184" s="28"/>
      <c r="D184" s="28"/>
    </row>
    <row r="185" spans="1:4" x14ac:dyDescent="0.25">
      <c r="A185">
        <v>148</v>
      </c>
      <c r="B185" s="7"/>
      <c r="C185" s="28"/>
      <c r="D185" s="28"/>
    </row>
    <row r="186" spans="1:4" x14ac:dyDescent="0.25">
      <c r="A186">
        <v>149</v>
      </c>
      <c r="B186" s="7"/>
      <c r="C186" s="28"/>
      <c r="D186" s="28"/>
    </row>
    <row r="187" spans="1:4" x14ac:dyDescent="0.25">
      <c r="A187">
        <v>150</v>
      </c>
      <c r="B187" s="7"/>
      <c r="C187" s="28"/>
      <c r="D187" s="28"/>
    </row>
    <row r="188" spans="1:4" x14ac:dyDescent="0.25">
      <c r="A188">
        <v>151</v>
      </c>
      <c r="B188" s="7"/>
      <c r="C188" s="28"/>
      <c r="D188" s="28"/>
    </row>
    <row r="189" spans="1:4" x14ac:dyDescent="0.25">
      <c r="A189">
        <v>152</v>
      </c>
      <c r="B189" s="7"/>
      <c r="C189" s="28"/>
      <c r="D189" s="28"/>
    </row>
    <row r="190" spans="1:4" x14ac:dyDescent="0.25">
      <c r="A190">
        <v>153</v>
      </c>
      <c r="B190" s="7"/>
      <c r="C190" s="28"/>
      <c r="D190" s="28"/>
    </row>
    <row r="191" spans="1:4" x14ac:dyDescent="0.25">
      <c r="A191">
        <v>154</v>
      </c>
      <c r="B191" s="7"/>
      <c r="C191" s="28"/>
      <c r="D191" s="28"/>
    </row>
    <row r="192" spans="1:4" x14ac:dyDescent="0.25">
      <c r="A192">
        <v>155</v>
      </c>
      <c r="B192" s="7"/>
      <c r="C192" s="28"/>
      <c r="D192" s="28"/>
    </row>
    <row r="193" spans="1:4" x14ac:dyDescent="0.25">
      <c r="A193">
        <v>156</v>
      </c>
      <c r="B193" s="7"/>
      <c r="C193" s="28"/>
      <c r="D193" s="28"/>
    </row>
    <row r="194" spans="1:4" x14ac:dyDescent="0.25">
      <c r="A194">
        <v>157</v>
      </c>
      <c r="B194" s="7"/>
      <c r="C194" s="28"/>
      <c r="D194" s="28"/>
    </row>
    <row r="195" spans="1:4" x14ac:dyDescent="0.25">
      <c r="A195">
        <v>158</v>
      </c>
      <c r="B195" s="7"/>
      <c r="C195" s="28"/>
      <c r="D195" s="28"/>
    </row>
    <row r="196" spans="1:4" x14ac:dyDescent="0.25">
      <c r="A196">
        <v>159</v>
      </c>
      <c r="B196" s="7"/>
      <c r="C196" s="28"/>
      <c r="D196" s="28"/>
    </row>
    <row r="197" spans="1:4" x14ac:dyDescent="0.25">
      <c r="A197">
        <v>160</v>
      </c>
      <c r="B197" s="7"/>
      <c r="C197" s="28"/>
      <c r="D197" s="28"/>
    </row>
    <row r="198" spans="1:4" x14ac:dyDescent="0.25">
      <c r="A198">
        <v>161</v>
      </c>
      <c r="B198" s="7"/>
      <c r="C198" s="28"/>
      <c r="D198" s="28"/>
    </row>
    <row r="199" spans="1:4" x14ac:dyDescent="0.25">
      <c r="A199">
        <v>162</v>
      </c>
      <c r="B199" s="7"/>
      <c r="C199" s="28"/>
      <c r="D199" s="28"/>
    </row>
    <row r="200" spans="1:4" x14ac:dyDescent="0.25">
      <c r="A200">
        <v>163</v>
      </c>
      <c r="B200" s="7"/>
      <c r="C200" s="28"/>
      <c r="D200" s="28"/>
    </row>
    <row r="201" spans="1:4" x14ac:dyDescent="0.25">
      <c r="A201">
        <v>164</v>
      </c>
      <c r="B201" s="7"/>
      <c r="C201" s="28"/>
      <c r="D201" s="28"/>
    </row>
    <row r="202" spans="1:4" x14ac:dyDescent="0.25">
      <c r="A202">
        <v>165</v>
      </c>
      <c r="B202" s="7"/>
      <c r="C202" s="28"/>
      <c r="D202" s="28"/>
    </row>
    <row r="203" spans="1:4" x14ac:dyDescent="0.25">
      <c r="A203">
        <v>166</v>
      </c>
      <c r="B203" s="7"/>
      <c r="C203" s="28"/>
      <c r="D203" s="28"/>
    </row>
    <row r="204" spans="1:4" x14ac:dyDescent="0.25">
      <c r="A204">
        <v>167</v>
      </c>
      <c r="B204" s="7"/>
      <c r="C204" s="28"/>
      <c r="D204" s="28"/>
    </row>
    <row r="205" spans="1:4" x14ac:dyDescent="0.25">
      <c r="A205">
        <v>168</v>
      </c>
      <c r="B205" s="7"/>
      <c r="C205" s="28"/>
      <c r="D205" s="28"/>
    </row>
    <row r="206" spans="1:4" x14ac:dyDescent="0.25">
      <c r="A206">
        <v>169</v>
      </c>
      <c r="B206" s="7"/>
      <c r="C206" s="28"/>
      <c r="D206" s="28"/>
    </row>
    <row r="207" spans="1:4" x14ac:dyDescent="0.25">
      <c r="A207">
        <v>170</v>
      </c>
      <c r="B207" s="7"/>
      <c r="C207" s="28"/>
      <c r="D207" s="28"/>
    </row>
    <row r="208" spans="1:4" x14ac:dyDescent="0.25">
      <c r="A208">
        <v>171</v>
      </c>
      <c r="B208" s="7"/>
      <c r="C208" s="28"/>
      <c r="D208" s="28"/>
    </row>
    <row r="209" spans="1:4" x14ac:dyDescent="0.25">
      <c r="A209">
        <v>172</v>
      </c>
      <c r="B209" s="7"/>
      <c r="C209" s="28"/>
      <c r="D209" s="28"/>
    </row>
    <row r="210" spans="1:4" x14ac:dyDescent="0.25">
      <c r="A210">
        <v>173</v>
      </c>
      <c r="B210" s="7"/>
      <c r="C210" s="28"/>
      <c r="D210" s="28"/>
    </row>
    <row r="211" spans="1:4" x14ac:dyDescent="0.25">
      <c r="A211">
        <v>174</v>
      </c>
      <c r="B211" s="7"/>
      <c r="C211" s="28"/>
      <c r="D211" s="28"/>
    </row>
    <row r="212" spans="1:4" x14ac:dyDescent="0.25">
      <c r="A212">
        <v>175</v>
      </c>
      <c r="B212" s="7"/>
      <c r="C212" s="28"/>
      <c r="D212" s="28"/>
    </row>
    <row r="213" spans="1:4" x14ac:dyDescent="0.25">
      <c r="A213">
        <v>176</v>
      </c>
      <c r="B213" s="7"/>
      <c r="C213" s="28"/>
      <c r="D213" s="28"/>
    </row>
    <row r="214" spans="1:4" x14ac:dyDescent="0.25">
      <c r="A214">
        <v>177</v>
      </c>
      <c r="B214" s="7"/>
      <c r="C214" s="28"/>
      <c r="D214" s="28"/>
    </row>
    <row r="215" spans="1:4" x14ac:dyDescent="0.25">
      <c r="A215">
        <v>178</v>
      </c>
      <c r="B215" s="35"/>
      <c r="C215" s="36"/>
      <c r="D215" s="36"/>
    </row>
    <row r="216" spans="1:4" x14ac:dyDescent="0.25">
      <c r="A216">
        <v>179</v>
      </c>
      <c r="B216" s="7"/>
      <c r="C216" s="28"/>
      <c r="D216" s="28"/>
    </row>
    <row r="217" spans="1:4" x14ac:dyDescent="0.25">
      <c r="A217">
        <v>180</v>
      </c>
      <c r="B217" s="7"/>
      <c r="C217" s="28"/>
      <c r="D217" s="28"/>
    </row>
    <row r="218" spans="1:4" x14ac:dyDescent="0.25">
      <c r="A218">
        <v>181</v>
      </c>
      <c r="B218" s="35"/>
      <c r="C218" s="36"/>
      <c r="D218" s="36"/>
    </row>
    <row r="219" spans="1:4" x14ac:dyDescent="0.25">
      <c r="A219">
        <v>182</v>
      </c>
      <c r="B219" s="7"/>
      <c r="C219" s="28"/>
      <c r="D219" s="28"/>
    </row>
    <row r="220" spans="1:4" x14ac:dyDescent="0.25">
      <c r="A220">
        <v>183</v>
      </c>
      <c r="B220" s="7"/>
      <c r="C220" s="28"/>
      <c r="D220" s="28"/>
    </row>
    <row r="221" spans="1:4" x14ac:dyDescent="0.25">
      <c r="A221">
        <v>184</v>
      </c>
      <c r="B221" s="7"/>
      <c r="C221" s="28"/>
      <c r="D221" s="28"/>
    </row>
    <row r="222" spans="1:4" x14ac:dyDescent="0.25">
      <c r="A222">
        <v>185</v>
      </c>
      <c r="B222" s="7"/>
      <c r="C222" s="28"/>
      <c r="D222" s="28"/>
    </row>
    <row r="223" spans="1:4" x14ac:dyDescent="0.25">
      <c r="A223">
        <v>186</v>
      </c>
      <c r="B223" s="7"/>
      <c r="C223" s="28"/>
      <c r="D223" s="28"/>
    </row>
    <row r="224" spans="1:4" x14ac:dyDescent="0.25">
      <c r="A224">
        <v>187</v>
      </c>
      <c r="B224" s="7"/>
      <c r="C224" s="28"/>
      <c r="D224" s="28"/>
    </row>
    <row r="225" spans="1:4" x14ac:dyDescent="0.25">
      <c r="A225">
        <v>188</v>
      </c>
      <c r="B225" s="7"/>
      <c r="C225" s="28"/>
      <c r="D225" s="28"/>
    </row>
    <row r="226" spans="1:4" x14ac:dyDescent="0.25">
      <c r="A226">
        <v>189</v>
      </c>
      <c r="B226" s="7"/>
      <c r="C226" s="28"/>
      <c r="D226" s="28"/>
    </row>
    <row r="227" spans="1:4" ht="13" x14ac:dyDescent="0.3">
      <c r="A227">
        <v>190</v>
      </c>
      <c r="B227" s="7"/>
      <c r="C227" s="29"/>
      <c r="D227" s="28"/>
    </row>
    <row r="228" spans="1:4" x14ac:dyDescent="0.25">
      <c r="A228">
        <v>191</v>
      </c>
      <c r="B228" s="7"/>
      <c r="C228" s="28"/>
      <c r="D228" s="28"/>
    </row>
    <row r="229" spans="1:4" x14ac:dyDescent="0.25">
      <c r="A229">
        <v>192</v>
      </c>
      <c r="B229" s="7"/>
      <c r="C229" s="28"/>
      <c r="D229" s="28"/>
    </row>
    <row r="230" spans="1:4" x14ac:dyDescent="0.25">
      <c r="A230">
        <v>193</v>
      </c>
      <c r="B230" s="35"/>
      <c r="C230" s="36"/>
      <c r="D230" s="36"/>
    </row>
    <row r="231" spans="1:4" x14ac:dyDescent="0.25">
      <c r="A231">
        <v>194</v>
      </c>
      <c r="B231" s="7"/>
      <c r="C231" s="28"/>
      <c r="D231" s="28"/>
    </row>
    <row r="232" spans="1:4" x14ac:dyDescent="0.25">
      <c r="A232">
        <v>195</v>
      </c>
      <c r="B232" s="7"/>
      <c r="C232" s="28"/>
      <c r="D232" s="28"/>
    </row>
    <row r="233" spans="1:4" x14ac:dyDescent="0.25">
      <c r="A233">
        <v>196</v>
      </c>
      <c r="B233" s="7"/>
      <c r="C233" s="28"/>
      <c r="D233" s="28"/>
    </row>
    <row r="234" spans="1:4" x14ac:dyDescent="0.25">
      <c r="A234">
        <v>197</v>
      </c>
      <c r="B234" s="7"/>
      <c r="C234" s="28"/>
      <c r="D234" s="28"/>
    </row>
    <row r="235" spans="1:4" x14ac:dyDescent="0.25">
      <c r="A235">
        <v>198</v>
      </c>
      <c r="B235" s="7"/>
      <c r="C235" s="28"/>
      <c r="D235" s="28"/>
    </row>
    <row r="236" spans="1:4" x14ac:dyDescent="0.25">
      <c r="A236">
        <v>199</v>
      </c>
      <c r="B236" s="7"/>
      <c r="C236" s="28"/>
      <c r="D236" s="28"/>
    </row>
    <row r="237" spans="1:4" x14ac:dyDescent="0.25">
      <c r="A237">
        <v>200</v>
      </c>
      <c r="B237" s="7"/>
      <c r="C237" s="28"/>
      <c r="D237" s="28"/>
    </row>
    <row r="238" spans="1:4" x14ac:dyDescent="0.25">
      <c r="A238">
        <v>201</v>
      </c>
      <c r="B238" s="7"/>
      <c r="C238" s="28"/>
      <c r="D238" s="28"/>
    </row>
    <row r="239" spans="1:4" x14ac:dyDescent="0.25">
      <c r="A239">
        <v>202</v>
      </c>
      <c r="B239" s="7"/>
      <c r="C239" s="28"/>
      <c r="D239" s="28"/>
    </row>
    <row r="240" spans="1:4" x14ac:dyDescent="0.25">
      <c r="A240">
        <v>203</v>
      </c>
      <c r="B240" s="7"/>
      <c r="C240" s="28"/>
      <c r="D240" s="28"/>
    </row>
    <row r="241" spans="1:4" x14ac:dyDescent="0.25">
      <c r="A241">
        <v>204</v>
      </c>
      <c r="B241" s="7"/>
      <c r="C241" s="28"/>
      <c r="D241" s="28"/>
    </row>
    <row r="242" spans="1:4" x14ac:dyDescent="0.25">
      <c r="A242">
        <v>205</v>
      </c>
      <c r="B242" s="7"/>
      <c r="C242" s="28"/>
      <c r="D242" s="28"/>
    </row>
    <row r="243" spans="1:4" x14ac:dyDescent="0.25">
      <c r="A243">
        <v>206</v>
      </c>
      <c r="B243" s="7"/>
      <c r="C243" s="28"/>
      <c r="D243" s="28"/>
    </row>
    <row r="244" spans="1:4" x14ac:dyDescent="0.25">
      <c r="A244">
        <v>207</v>
      </c>
      <c r="B244" s="7"/>
      <c r="C244" s="28"/>
      <c r="D244" s="28"/>
    </row>
    <row r="245" spans="1:4" x14ac:dyDescent="0.25">
      <c r="A245">
        <v>208</v>
      </c>
      <c r="B245" s="7"/>
      <c r="C245" s="28"/>
      <c r="D245" s="28"/>
    </row>
    <row r="246" spans="1:4" x14ac:dyDescent="0.25">
      <c r="A246">
        <v>209</v>
      </c>
      <c r="B246" s="7"/>
      <c r="C246" s="28"/>
      <c r="D246" s="28"/>
    </row>
    <row r="247" spans="1:4" x14ac:dyDescent="0.25">
      <c r="A247">
        <v>210</v>
      </c>
      <c r="B247" s="7"/>
      <c r="C247" s="28"/>
      <c r="D247" s="28"/>
    </row>
    <row r="248" spans="1:4" x14ac:dyDescent="0.25">
      <c r="A248">
        <v>211</v>
      </c>
      <c r="B248" s="7"/>
      <c r="C248" s="28"/>
      <c r="D248" s="28"/>
    </row>
    <row r="249" spans="1:4" x14ac:dyDescent="0.25">
      <c r="A249">
        <v>212</v>
      </c>
      <c r="B249" s="7"/>
      <c r="C249" s="28"/>
      <c r="D249" s="28"/>
    </row>
    <row r="250" spans="1:4" x14ac:dyDescent="0.25">
      <c r="A250">
        <v>213</v>
      </c>
      <c r="B250" s="7"/>
      <c r="C250" s="28"/>
      <c r="D250" s="28"/>
    </row>
    <row r="251" spans="1:4" x14ac:dyDescent="0.25">
      <c r="A251">
        <v>214</v>
      </c>
      <c r="B251" s="7"/>
      <c r="C251" s="28"/>
      <c r="D251" s="28"/>
    </row>
    <row r="252" spans="1:4" x14ac:dyDescent="0.25">
      <c r="A252">
        <v>215</v>
      </c>
      <c r="B252" s="7"/>
      <c r="C252" s="28"/>
      <c r="D252" s="28"/>
    </row>
    <row r="253" spans="1:4" x14ac:dyDescent="0.25">
      <c r="A253">
        <v>216</v>
      </c>
      <c r="B253" s="7"/>
      <c r="C253" s="28"/>
      <c r="D253" s="28"/>
    </row>
    <row r="254" spans="1:4" x14ac:dyDescent="0.25">
      <c r="A254">
        <v>217</v>
      </c>
      <c r="B254" s="7"/>
      <c r="C254" s="28"/>
      <c r="D254" s="28"/>
    </row>
    <row r="255" spans="1:4" x14ac:dyDescent="0.25">
      <c r="A255">
        <v>218</v>
      </c>
      <c r="B255" s="7"/>
      <c r="C255" s="28"/>
      <c r="D255" s="28"/>
    </row>
    <row r="256" spans="1:4" x14ac:dyDescent="0.25">
      <c r="A256">
        <v>219</v>
      </c>
      <c r="B256" s="7"/>
      <c r="C256" s="28"/>
      <c r="D256" s="28"/>
    </row>
    <row r="257" spans="1:4" x14ac:dyDescent="0.25">
      <c r="A257">
        <v>220</v>
      </c>
      <c r="B257" s="7"/>
      <c r="C257" s="28"/>
      <c r="D257" s="28"/>
    </row>
    <row r="258" spans="1:4" x14ac:dyDescent="0.25">
      <c r="A258">
        <v>221</v>
      </c>
      <c r="B258" s="7"/>
      <c r="C258" s="28"/>
      <c r="D258" s="28"/>
    </row>
    <row r="259" spans="1:4" x14ac:dyDescent="0.25">
      <c r="A259">
        <v>222</v>
      </c>
      <c r="B259" s="7"/>
      <c r="C259" s="28"/>
      <c r="D259" s="28"/>
    </row>
    <row r="260" spans="1:4" x14ac:dyDescent="0.25">
      <c r="A260">
        <v>223</v>
      </c>
      <c r="B260" s="35"/>
      <c r="C260" s="36"/>
      <c r="D260" s="36"/>
    </row>
    <row r="261" spans="1:4" x14ac:dyDescent="0.25">
      <c r="A261">
        <v>224</v>
      </c>
      <c r="B261" s="7"/>
      <c r="C261" s="28"/>
      <c r="D261" s="28"/>
    </row>
    <row r="262" spans="1:4" x14ac:dyDescent="0.25">
      <c r="A262">
        <v>225</v>
      </c>
      <c r="B262" s="7"/>
      <c r="C262" s="28"/>
      <c r="D262" s="28"/>
    </row>
    <row r="263" spans="1:4" x14ac:dyDescent="0.25">
      <c r="A263">
        <v>226</v>
      </c>
      <c r="B263" s="7"/>
      <c r="C263" s="28"/>
      <c r="D263" s="28"/>
    </row>
    <row r="264" spans="1:4" x14ac:dyDescent="0.25">
      <c r="A264">
        <v>227</v>
      </c>
      <c r="B264" s="7"/>
      <c r="C264" s="28"/>
      <c r="D264" s="28"/>
    </row>
    <row r="265" spans="1:4" x14ac:dyDescent="0.25">
      <c r="A265">
        <v>228</v>
      </c>
      <c r="B265" s="7"/>
      <c r="C265" s="28"/>
      <c r="D265" s="28"/>
    </row>
    <row r="266" spans="1:4" x14ac:dyDescent="0.25">
      <c r="A266">
        <v>229</v>
      </c>
      <c r="B266" s="7"/>
      <c r="C266" s="28"/>
      <c r="D266" s="28"/>
    </row>
    <row r="267" spans="1:4" x14ac:dyDescent="0.25">
      <c r="A267">
        <v>230</v>
      </c>
      <c r="B267" s="7"/>
      <c r="C267" s="28"/>
      <c r="D267" s="28"/>
    </row>
    <row r="268" spans="1:4" x14ac:dyDescent="0.25">
      <c r="A268">
        <v>231</v>
      </c>
      <c r="B268" s="7"/>
      <c r="C268" s="28"/>
      <c r="D268" s="28"/>
    </row>
    <row r="269" spans="1:4" x14ac:dyDescent="0.25">
      <c r="A269">
        <v>232</v>
      </c>
      <c r="B269" s="7"/>
      <c r="C269" s="28"/>
      <c r="D269" s="28"/>
    </row>
    <row r="270" spans="1:4" x14ac:dyDescent="0.25">
      <c r="A270">
        <v>233</v>
      </c>
      <c r="B270" s="7"/>
      <c r="C270" s="28"/>
      <c r="D270" s="28"/>
    </row>
    <row r="271" spans="1:4" x14ac:dyDescent="0.25">
      <c r="A271">
        <v>234</v>
      </c>
      <c r="B271" s="7"/>
      <c r="C271" s="28"/>
      <c r="D271" s="28"/>
    </row>
    <row r="272" spans="1:4" x14ac:dyDescent="0.25">
      <c r="A272">
        <v>235</v>
      </c>
      <c r="B272" s="7"/>
      <c r="C272" s="28"/>
      <c r="D272" s="28"/>
    </row>
    <row r="273" spans="1:4" x14ac:dyDescent="0.25">
      <c r="A273">
        <v>236</v>
      </c>
      <c r="B273" s="7"/>
      <c r="C273" s="28"/>
      <c r="D273" s="28"/>
    </row>
    <row r="274" spans="1:4" x14ac:dyDescent="0.25">
      <c r="A274">
        <v>237</v>
      </c>
      <c r="B274" s="7"/>
      <c r="C274" s="28"/>
      <c r="D274" s="28"/>
    </row>
    <row r="275" spans="1:4" x14ac:dyDescent="0.25">
      <c r="A275">
        <v>238</v>
      </c>
      <c r="B275" s="7"/>
      <c r="C275" s="28"/>
      <c r="D275" s="28"/>
    </row>
    <row r="276" spans="1:4" x14ac:dyDescent="0.25">
      <c r="A276">
        <v>239</v>
      </c>
      <c r="B276" s="7"/>
      <c r="C276" s="28"/>
      <c r="D276" s="28"/>
    </row>
    <row r="277" spans="1:4" x14ac:dyDescent="0.25">
      <c r="A277">
        <v>240</v>
      </c>
      <c r="B277" s="7"/>
      <c r="C277" s="28"/>
      <c r="D277" s="28"/>
    </row>
    <row r="278" spans="1:4" x14ac:dyDescent="0.25">
      <c r="A278">
        <v>241</v>
      </c>
      <c r="B278" s="7"/>
      <c r="C278" s="28"/>
      <c r="D278" s="28"/>
    </row>
    <row r="279" spans="1:4" x14ac:dyDescent="0.25">
      <c r="A279">
        <v>242</v>
      </c>
      <c r="B279" s="7"/>
      <c r="C279" s="28"/>
      <c r="D279" s="28"/>
    </row>
    <row r="280" spans="1:4" x14ac:dyDescent="0.25">
      <c r="A280">
        <v>243</v>
      </c>
      <c r="B280" s="7"/>
      <c r="C280" s="28"/>
      <c r="D280" s="28"/>
    </row>
    <row r="281" spans="1:4" x14ac:dyDescent="0.25">
      <c r="A281">
        <v>244</v>
      </c>
      <c r="B281" s="7"/>
      <c r="C281" s="28"/>
      <c r="D281" s="28"/>
    </row>
    <row r="282" spans="1:4" x14ac:dyDescent="0.25">
      <c r="A282">
        <v>245</v>
      </c>
      <c r="B282" s="7"/>
      <c r="C282" s="28"/>
      <c r="D282" s="28"/>
    </row>
    <row r="283" spans="1:4" x14ac:dyDescent="0.25">
      <c r="A283">
        <v>246</v>
      </c>
      <c r="B283" s="7"/>
      <c r="C283" s="28"/>
      <c r="D283" s="28"/>
    </row>
    <row r="284" spans="1:4" x14ac:dyDescent="0.25">
      <c r="A284">
        <v>247</v>
      </c>
      <c r="B284" s="7"/>
      <c r="C284" s="28"/>
      <c r="D284" s="28"/>
    </row>
    <row r="285" spans="1:4" x14ac:dyDescent="0.25">
      <c r="A285">
        <v>248</v>
      </c>
      <c r="B285" s="7"/>
      <c r="C285" s="28"/>
      <c r="D285" s="28"/>
    </row>
    <row r="286" spans="1:4" x14ac:dyDescent="0.25">
      <c r="A286">
        <v>249</v>
      </c>
      <c r="B286" s="7"/>
      <c r="C286" s="28"/>
      <c r="D286" s="28"/>
    </row>
    <row r="287" spans="1:4" x14ac:dyDescent="0.25">
      <c r="A287">
        <v>250</v>
      </c>
      <c r="B287" s="7"/>
      <c r="C287" s="28"/>
      <c r="D287" s="28"/>
    </row>
    <row r="288" spans="1:4" x14ac:dyDescent="0.25">
      <c r="A288">
        <v>251</v>
      </c>
      <c r="B288" s="7"/>
      <c r="C288" s="28"/>
      <c r="D288" s="28"/>
    </row>
    <row r="289" spans="1:4" x14ac:dyDescent="0.25">
      <c r="A289">
        <v>252</v>
      </c>
      <c r="B289" s="7"/>
      <c r="C289" s="28"/>
      <c r="D289" s="28"/>
    </row>
    <row r="290" spans="1:4" x14ac:dyDescent="0.25">
      <c r="A290">
        <v>253</v>
      </c>
      <c r="B290" s="7"/>
      <c r="C290" s="28"/>
      <c r="D290" s="28"/>
    </row>
    <row r="291" spans="1:4" x14ac:dyDescent="0.25">
      <c r="A291">
        <v>254</v>
      </c>
      <c r="B291" s="7"/>
      <c r="C291" s="28"/>
      <c r="D291" s="28"/>
    </row>
    <row r="292" spans="1:4" x14ac:dyDescent="0.25">
      <c r="A292">
        <v>255</v>
      </c>
      <c r="B292" s="7"/>
      <c r="C292" s="28"/>
      <c r="D292" s="28"/>
    </row>
    <row r="293" spans="1:4" x14ac:dyDescent="0.25">
      <c r="A293">
        <v>256</v>
      </c>
      <c r="B293" s="7"/>
      <c r="C293" s="28"/>
      <c r="D293" s="28"/>
    </row>
    <row r="294" spans="1:4" x14ac:dyDescent="0.25">
      <c r="A294">
        <v>257</v>
      </c>
      <c r="B294" s="7"/>
      <c r="C294" s="28"/>
      <c r="D294" s="28"/>
    </row>
    <row r="295" spans="1:4" x14ac:dyDescent="0.25">
      <c r="A295">
        <v>258</v>
      </c>
      <c r="B295" s="7"/>
      <c r="C295" s="28"/>
      <c r="D295" s="28"/>
    </row>
    <row r="296" spans="1:4" x14ac:dyDescent="0.25">
      <c r="A296">
        <v>259</v>
      </c>
      <c r="B296" s="7"/>
      <c r="C296" s="28"/>
      <c r="D296" s="28"/>
    </row>
    <row r="297" spans="1:4" x14ac:dyDescent="0.25">
      <c r="A297">
        <v>260</v>
      </c>
      <c r="B297" s="7"/>
      <c r="C297" s="28"/>
      <c r="D297" s="28"/>
    </row>
    <row r="298" spans="1:4" x14ac:dyDescent="0.25">
      <c r="A298">
        <v>261</v>
      </c>
      <c r="B298" s="7"/>
      <c r="C298" s="28"/>
      <c r="D298" s="28"/>
    </row>
    <row r="299" spans="1:4" x14ac:dyDescent="0.25">
      <c r="A299">
        <v>262</v>
      </c>
      <c r="B299" s="7"/>
      <c r="C299" s="28"/>
      <c r="D299" s="28"/>
    </row>
    <row r="300" spans="1:4" x14ac:dyDescent="0.25">
      <c r="A300">
        <v>263</v>
      </c>
      <c r="B300" s="7"/>
      <c r="C300" s="28"/>
      <c r="D300" s="28"/>
    </row>
    <row r="301" spans="1:4" x14ac:dyDescent="0.25">
      <c r="A301">
        <v>264</v>
      </c>
      <c r="B301" s="7"/>
      <c r="C301" s="28"/>
      <c r="D301" s="28"/>
    </row>
    <row r="302" spans="1:4" x14ac:dyDescent="0.25">
      <c r="A302">
        <v>265</v>
      </c>
      <c r="B302" s="7"/>
      <c r="C302" s="28"/>
      <c r="D302" s="28"/>
    </row>
    <row r="303" spans="1:4" x14ac:dyDescent="0.25">
      <c r="A303">
        <v>266</v>
      </c>
      <c r="B303" s="7"/>
      <c r="C303" s="28"/>
      <c r="D303" s="28"/>
    </row>
    <row r="304" spans="1:4" x14ac:dyDescent="0.25">
      <c r="A304">
        <v>267</v>
      </c>
      <c r="B304" s="7"/>
      <c r="C304" s="28"/>
      <c r="D304" s="28"/>
    </row>
    <row r="305" spans="1:4" x14ac:dyDescent="0.25">
      <c r="A305">
        <v>268</v>
      </c>
      <c r="B305" s="7"/>
      <c r="C305" s="28"/>
      <c r="D305" s="28"/>
    </row>
    <row r="306" spans="1:4" x14ac:dyDescent="0.25">
      <c r="A306">
        <v>269</v>
      </c>
      <c r="B306" s="7"/>
      <c r="C306" s="28"/>
      <c r="D306" s="28"/>
    </row>
    <row r="307" spans="1:4" x14ac:dyDescent="0.25">
      <c r="A307">
        <v>270</v>
      </c>
      <c r="B307" s="7"/>
      <c r="C307" s="28"/>
      <c r="D307" s="28"/>
    </row>
    <row r="308" spans="1:4" x14ac:dyDescent="0.25">
      <c r="A308">
        <v>271</v>
      </c>
      <c r="B308" s="7"/>
      <c r="C308" s="28"/>
      <c r="D308" s="28"/>
    </row>
    <row r="309" spans="1:4" x14ac:dyDescent="0.25">
      <c r="A309">
        <v>272</v>
      </c>
      <c r="B309" s="7"/>
      <c r="C309" s="28"/>
      <c r="D309" s="28"/>
    </row>
    <row r="310" spans="1:4" x14ac:dyDescent="0.25">
      <c r="A310">
        <v>273</v>
      </c>
      <c r="B310" s="7"/>
      <c r="C310" s="28"/>
      <c r="D310" s="28"/>
    </row>
    <row r="311" spans="1:4" x14ac:dyDescent="0.25">
      <c r="A311">
        <v>274</v>
      </c>
      <c r="B311" s="7"/>
      <c r="C311" s="28"/>
      <c r="D311" s="28"/>
    </row>
    <row r="312" spans="1:4" x14ac:dyDescent="0.25">
      <c r="A312">
        <v>275</v>
      </c>
      <c r="B312" s="7"/>
      <c r="C312" s="28"/>
      <c r="D312" s="28"/>
    </row>
    <row r="313" spans="1:4" x14ac:dyDescent="0.25">
      <c r="A313">
        <v>276</v>
      </c>
      <c r="B313" s="7"/>
      <c r="C313" s="28"/>
      <c r="D313" s="28"/>
    </row>
    <row r="314" spans="1:4" x14ac:dyDescent="0.25">
      <c r="A314">
        <v>277</v>
      </c>
      <c r="B314" s="7"/>
      <c r="C314" s="28"/>
      <c r="D314" s="28"/>
    </row>
    <row r="315" spans="1:4" x14ac:dyDescent="0.25">
      <c r="A315">
        <v>278</v>
      </c>
      <c r="B315" s="7"/>
      <c r="C315" s="28"/>
      <c r="D315" s="28"/>
    </row>
    <row r="316" spans="1:4" x14ac:dyDescent="0.25">
      <c r="A316">
        <v>279</v>
      </c>
      <c r="B316" s="7"/>
      <c r="C316" s="28"/>
      <c r="D316" s="28"/>
    </row>
    <row r="317" spans="1:4" x14ac:dyDescent="0.25">
      <c r="A317">
        <v>280</v>
      </c>
      <c r="B317" s="7"/>
      <c r="C317" s="28"/>
      <c r="D317" s="28"/>
    </row>
    <row r="318" spans="1:4" x14ac:dyDescent="0.25">
      <c r="A318">
        <v>281</v>
      </c>
      <c r="B318" s="7"/>
      <c r="C318" s="28"/>
      <c r="D318" s="28"/>
    </row>
    <row r="319" spans="1:4" x14ac:dyDescent="0.25">
      <c r="A319">
        <v>282</v>
      </c>
      <c r="B319" s="7"/>
      <c r="C319" s="28"/>
      <c r="D319" s="28"/>
    </row>
    <row r="320" spans="1:4" x14ac:dyDescent="0.25">
      <c r="A320">
        <v>283</v>
      </c>
      <c r="B320" s="7"/>
      <c r="C320" s="28"/>
      <c r="D320" s="28"/>
    </row>
    <row r="321" spans="1:4" x14ac:dyDescent="0.25">
      <c r="A321">
        <v>284</v>
      </c>
      <c r="B321" s="35"/>
      <c r="C321" s="36"/>
      <c r="D321" s="36"/>
    </row>
    <row r="322" spans="1:4" x14ac:dyDescent="0.25">
      <c r="A322">
        <v>285</v>
      </c>
      <c r="B322" s="7"/>
      <c r="C322" s="28"/>
      <c r="D322" s="28"/>
    </row>
    <row r="323" spans="1:4" x14ac:dyDescent="0.25">
      <c r="A323">
        <v>286</v>
      </c>
      <c r="B323" s="7"/>
      <c r="C323" s="28"/>
      <c r="D323" s="28"/>
    </row>
    <row r="324" spans="1:4" x14ac:dyDescent="0.25">
      <c r="A324">
        <v>287</v>
      </c>
      <c r="B324" s="7"/>
      <c r="C324" s="28"/>
      <c r="D324" s="28"/>
    </row>
    <row r="325" spans="1:4" x14ac:dyDescent="0.25">
      <c r="A325">
        <v>288</v>
      </c>
      <c r="B325" s="7"/>
      <c r="C325" s="28"/>
      <c r="D325" s="28"/>
    </row>
    <row r="326" spans="1:4" x14ac:dyDescent="0.25">
      <c r="A326">
        <v>289</v>
      </c>
      <c r="B326" s="7"/>
      <c r="C326" s="28"/>
      <c r="D326" s="28"/>
    </row>
    <row r="327" spans="1:4" x14ac:dyDescent="0.25">
      <c r="A327">
        <v>290</v>
      </c>
      <c r="B327" s="7"/>
      <c r="C327" s="28"/>
      <c r="D327" s="28"/>
    </row>
    <row r="328" spans="1:4" x14ac:dyDescent="0.25">
      <c r="A328">
        <v>291</v>
      </c>
      <c r="B328" s="7"/>
      <c r="C328" s="28"/>
      <c r="D328" s="28"/>
    </row>
    <row r="329" spans="1:4" x14ac:dyDescent="0.25">
      <c r="A329">
        <v>292</v>
      </c>
      <c r="B329" s="7"/>
      <c r="C329" s="28"/>
      <c r="D329" s="28"/>
    </row>
    <row r="330" spans="1:4" x14ac:dyDescent="0.25">
      <c r="A330">
        <v>293</v>
      </c>
      <c r="B330" s="7"/>
      <c r="C330" s="28"/>
      <c r="D330" s="28"/>
    </row>
    <row r="331" spans="1:4" x14ac:dyDescent="0.25">
      <c r="A331">
        <v>294</v>
      </c>
      <c r="B331" s="7"/>
      <c r="C331" s="28"/>
      <c r="D331" s="28"/>
    </row>
    <row r="332" spans="1:4" x14ac:dyDescent="0.25">
      <c r="A332">
        <v>295</v>
      </c>
      <c r="B332" s="7"/>
      <c r="C332" s="28"/>
      <c r="D332" s="28"/>
    </row>
    <row r="333" spans="1:4" x14ac:dyDescent="0.25">
      <c r="A333">
        <v>296</v>
      </c>
      <c r="B333" s="7"/>
      <c r="C333" s="28"/>
      <c r="D333" s="28"/>
    </row>
    <row r="334" spans="1:4" x14ac:dyDescent="0.25">
      <c r="A334">
        <v>297</v>
      </c>
      <c r="B334" s="7"/>
      <c r="C334" s="28"/>
      <c r="D334" s="28"/>
    </row>
    <row r="335" spans="1:4" x14ac:dyDescent="0.25">
      <c r="A335">
        <v>298</v>
      </c>
      <c r="B335" s="7"/>
      <c r="C335" s="28"/>
      <c r="D335" s="28"/>
    </row>
    <row r="336" spans="1:4" x14ac:dyDescent="0.25">
      <c r="A336">
        <v>299</v>
      </c>
      <c r="B336" s="7"/>
      <c r="C336" s="28"/>
      <c r="D336" s="28"/>
    </row>
    <row r="337" spans="1:4" x14ac:dyDescent="0.25">
      <c r="A337">
        <v>300</v>
      </c>
      <c r="B337" s="7"/>
      <c r="C337" s="28"/>
      <c r="D337" s="28"/>
    </row>
    <row r="338" spans="1:4" x14ac:dyDescent="0.25">
      <c r="A338">
        <v>301</v>
      </c>
      <c r="B338" s="7"/>
      <c r="C338" s="28"/>
      <c r="D338" s="28"/>
    </row>
    <row r="339" spans="1:4" x14ac:dyDescent="0.25">
      <c r="A339">
        <v>302</v>
      </c>
      <c r="B339" s="7"/>
      <c r="C339" s="28"/>
      <c r="D339" s="28"/>
    </row>
    <row r="340" spans="1:4" x14ac:dyDescent="0.25">
      <c r="A340">
        <v>303</v>
      </c>
      <c r="B340" s="7"/>
      <c r="C340" s="28"/>
      <c r="D340" s="28"/>
    </row>
    <row r="341" spans="1:4" x14ac:dyDescent="0.25">
      <c r="A341">
        <v>304</v>
      </c>
      <c r="B341" s="7"/>
      <c r="C341" s="28"/>
      <c r="D341" s="28"/>
    </row>
    <row r="342" spans="1:4" x14ac:dyDescent="0.25">
      <c r="A342">
        <v>305</v>
      </c>
      <c r="B342" s="7"/>
      <c r="C342" s="28"/>
      <c r="D342" s="28"/>
    </row>
    <row r="343" spans="1:4" x14ac:dyDescent="0.25">
      <c r="A343">
        <v>306</v>
      </c>
      <c r="B343" s="7"/>
      <c r="C343" s="28"/>
      <c r="D343" s="28"/>
    </row>
    <row r="344" spans="1:4" x14ac:dyDescent="0.25">
      <c r="A344">
        <v>307</v>
      </c>
      <c r="B344" s="7"/>
      <c r="C344" s="28"/>
      <c r="D344" s="28"/>
    </row>
    <row r="345" spans="1:4" x14ac:dyDescent="0.25">
      <c r="A345">
        <v>308</v>
      </c>
      <c r="B345" s="7"/>
      <c r="C345" s="28"/>
      <c r="D345" s="28"/>
    </row>
    <row r="346" spans="1:4" x14ac:dyDescent="0.25">
      <c r="A346">
        <v>309</v>
      </c>
      <c r="B346" s="7"/>
      <c r="C346" s="28"/>
      <c r="D346" s="28"/>
    </row>
    <row r="347" spans="1:4" x14ac:dyDescent="0.25">
      <c r="A347">
        <v>310</v>
      </c>
      <c r="B347" s="7"/>
      <c r="C347" s="28"/>
      <c r="D347" s="28"/>
    </row>
    <row r="348" spans="1:4" x14ac:dyDescent="0.25">
      <c r="A348">
        <v>311</v>
      </c>
      <c r="B348" s="7"/>
      <c r="C348" s="28"/>
      <c r="D348" s="28"/>
    </row>
    <row r="349" spans="1:4" x14ac:dyDescent="0.25">
      <c r="A349">
        <v>312</v>
      </c>
      <c r="B349" s="7"/>
      <c r="C349" s="28"/>
      <c r="D349" s="28"/>
    </row>
    <row r="350" spans="1:4" x14ac:dyDescent="0.25">
      <c r="A350">
        <v>313</v>
      </c>
      <c r="B350" s="7"/>
      <c r="C350" s="28"/>
      <c r="D350" s="28"/>
    </row>
    <row r="351" spans="1:4" x14ac:dyDescent="0.25">
      <c r="A351">
        <v>314</v>
      </c>
      <c r="B351" s="7"/>
      <c r="C351" s="28"/>
      <c r="D351" s="28"/>
    </row>
    <row r="352" spans="1:4" x14ac:dyDescent="0.25">
      <c r="A352">
        <v>315</v>
      </c>
      <c r="B352" s="7"/>
      <c r="C352" s="28"/>
      <c r="D352" s="28"/>
    </row>
    <row r="353" spans="1:4" x14ac:dyDescent="0.25">
      <c r="A353">
        <v>316</v>
      </c>
      <c r="B353" s="7"/>
      <c r="C353" s="28"/>
      <c r="D353" s="28"/>
    </row>
    <row r="354" spans="1:4" x14ac:dyDescent="0.25">
      <c r="A354">
        <v>317</v>
      </c>
      <c r="B354" s="7"/>
      <c r="C354" s="28"/>
      <c r="D354" s="28"/>
    </row>
    <row r="355" spans="1:4" x14ac:dyDescent="0.25">
      <c r="A355">
        <v>318</v>
      </c>
      <c r="B355" s="7"/>
      <c r="C355" s="28"/>
      <c r="D355" s="28"/>
    </row>
    <row r="356" spans="1:4" x14ac:dyDescent="0.25">
      <c r="A356">
        <v>319</v>
      </c>
      <c r="B356" s="7"/>
      <c r="C356" s="28"/>
      <c r="D356" s="28"/>
    </row>
    <row r="357" spans="1:4" x14ac:dyDescent="0.25">
      <c r="A357">
        <v>320</v>
      </c>
      <c r="B357" s="7"/>
      <c r="C357" s="28"/>
      <c r="D357" s="28"/>
    </row>
    <row r="358" spans="1:4" x14ac:dyDescent="0.25">
      <c r="A358">
        <v>321</v>
      </c>
      <c r="B358" s="7"/>
      <c r="C358" s="28"/>
      <c r="D358" s="28"/>
    </row>
    <row r="359" spans="1:4" x14ac:dyDescent="0.25">
      <c r="A359">
        <v>322</v>
      </c>
      <c r="B359" s="7"/>
      <c r="C359" s="28"/>
      <c r="D359" s="28"/>
    </row>
    <row r="360" spans="1:4" x14ac:dyDescent="0.25">
      <c r="A360">
        <v>323</v>
      </c>
      <c r="B360" s="7"/>
      <c r="C360" s="28"/>
      <c r="D360" s="28"/>
    </row>
    <row r="361" spans="1:4" x14ac:dyDescent="0.25">
      <c r="A361">
        <v>324</v>
      </c>
      <c r="B361" s="7"/>
      <c r="C361" s="28"/>
      <c r="D361" s="28"/>
    </row>
    <row r="362" spans="1:4" x14ac:dyDescent="0.25">
      <c r="A362">
        <v>325</v>
      </c>
      <c r="B362" s="7"/>
      <c r="C362" s="28"/>
      <c r="D362" s="28"/>
    </row>
    <row r="363" spans="1:4" x14ac:dyDescent="0.25">
      <c r="A363">
        <v>326</v>
      </c>
      <c r="B363" s="35"/>
      <c r="C363" s="36"/>
      <c r="D363" s="36"/>
    </row>
    <row r="364" spans="1:4" x14ac:dyDescent="0.25">
      <c r="A364">
        <v>327</v>
      </c>
      <c r="B364" s="7"/>
      <c r="C364" s="28"/>
      <c r="D364" s="28"/>
    </row>
    <row r="365" spans="1:4" x14ac:dyDescent="0.25">
      <c r="A365">
        <v>328</v>
      </c>
      <c r="B365" s="7"/>
      <c r="C365" s="28"/>
      <c r="D365" s="28"/>
    </row>
    <row r="366" spans="1:4" x14ac:dyDescent="0.25">
      <c r="A366">
        <v>329</v>
      </c>
      <c r="B366" s="7"/>
      <c r="C366" s="28"/>
      <c r="D366" s="28"/>
    </row>
    <row r="367" spans="1:4" x14ac:dyDescent="0.25">
      <c r="A367">
        <v>330</v>
      </c>
      <c r="B367" s="35"/>
      <c r="C367" s="36"/>
      <c r="D367" s="36"/>
    </row>
    <row r="368" spans="1:4" x14ac:dyDescent="0.25">
      <c r="A368">
        <v>331</v>
      </c>
      <c r="B368" s="7"/>
      <c r="C368" s="28"/>
      <c r="D368" s="28"/>
    </row>
    <row r="369" spans="1:4" x14ac:dyDescent="0.25">
      <c r="A369">
        <v>332</v>
      </c>
      <c r="B369" s="7"/>
      <c r="C369" s="28"/>
      <c r="D369" s="28"/>
    </row>
    <row r="370" spans="1:4" x14ac:dyDescent="0.25">
      <c r="A370">
        <v>333</v>
      </c>
      <c r="B370" s="7"/>
      <c r="C370" s="28"/>
      <c r="D370" s="28"/>
    </row>
    <row r="371" spans="1:4" x14ac:dyDescent="0.25">
      <c r="A371">
        <v>334</v>
      </c>
      <c r="B371" s="7"/>
      <c r="C371" s="28"/>
      <c r="D371" s="28"/>
    </row>
    <row r="372" spans="1:4" x14ac:dyDescent="0.25">
      <c r="A372">
        <v>335</v>
      </c>
      <c r="B372" s="7"/>
      <c r="C372" s="28"/>
      <c r="D372" s="28"/>
    </row>
    <row r="373" spans="1:4" x14ac:dyDescent="0.25">
      <c r="A373">
        <v>336</v>
      </c>
      <c r="B373" s="7"/>
      <c r="C373" s="28"/>
      <c r="D373" s="28"/>
    </row>
    <row r="374" spans="1:4" x14ac:dyDescent="0.25">
      <c r="A374">
        <v>337</v>
      </c>
      <c r="B374" s="35"/>
      <c r="C374" s="36"/>
      <c r="D374" s="36"/>
    </row>
    <row r="375" spans="1:4" x14ac:dyDescent="0.25">
      <c r="A375">
        <v>338</v>
      </c>
      <c r="B375" s="7"/>
      <c r="C375" s="28"/>
      <c r="D375" s="28"/>
    </row>
    <row r="376" spans="1:4" x14ac:dyDescent="0.25">
      <c r="A376">
        <v>339</v>
      </c>
      <c r="B376" s="7"/>
      <c r="C376" s="28"/>
      <c r="D376" s="28"/>
    </row>
    <row r="377" spans="1:4" x14ac:dyDescent="0.25">
      <c r="A377">
        <v>340</v>
      </c>
      <c r="B377" s="7"/>
      <c r="C377" s="28"/>
      <c r="D377" s="28"/>
    </row>
    <row r="378" spans="1:4" x14ac:dyDescent="0.25">
      <c r="A378">
        <v>341</v>
      </c>
      <c r="B378" s="35"/>
      <c r="C378" s="36"/>
      <c r="D378" s="36"/>
    </row>
    <row r="379" spans="1:4" x14ac:dyDescent="0.25">
      <c r="A379">
        <v>342</v>
      </c>
      <c r="B379" s="7"/>
      <c r="C379" s="28"/>
      <c r="D379" s="28"/>
    </row>
    <row r="380" spans="1:4" x14ac:dyDescent="0.25">
      <c r="A380">
        <v>343</v>
      </c>
      <c r="B380" s="7"/>
      <c r="C380" s="28"/>
      <c r="D380" s="28"/>
    </row>
    <row r="381" spans="1:4" x14ac:dyDescent="0.25">
      <c r="A381">
        <v>344</v>
      </c>
      <c r="B381" s="7"/>
      <c r="C381" s="28"/>
      <c r="D381" s="28"/>
    </row>
    <row r="382" spans="1:4" x14ac:dyDescent="0.25">
      <c r="A382">
        <v>345</v>
      </c>
      <c r="B382" s="7"/>
      <c r="C382" s="28"/>
      <c r="D382" s="28"/>
    </row>
    <row r="383" spans="1:4" x14ac:dyDescent="0.25">
      <c r="A383">
        <v>346</v>
      </c>
      <c r="B383" s="7"/>
      <c r="C383" s="28"/>
      <c r="D383" s="28"/>
    </row>
    <row r="384" spans="1:4" x14ac:dyDescent="0.25">
      <c r="A384">
        <v>347</v>
      </c>
      <c r="B384" s="35"/>
      <c r="C384" s="36"/>
      <c r="D384" s="36"/>
    </row>
    <row r="385" spans="1:4" x14ac:dyDescent="0.25">
      <c r="A385">
        <v>348</v>
      </c>
      <c r="B385" s="7"/>
      <c r="C385" s="28"/>
      <c r="D385" s="28"/>
    </row>
    <row r="386" spans="1:4" x14ac:dyDescent="0.25">
      <c r="A386">
        <v>349</v>
      </c>
      <c r="B386" s="7"/>
      <c r="C386" s="28"/>
      <c r="D386" s="28"/>
    </row>
    <row r="387" spans="1:4" x14ac:dyDescent="0.25">
      <c r="A387">
        <v>350</v>
      </c>
      <c r="B387" s="7"/>
      <c r="C387" s="28"/>
      <c r="D387" s="28"/>
    </row>
    <row r="388" spans="1:4" x14ac:dyDescent="0.25">
      <c r="A388">
        <v>351</v>
      </c>
      <c r="B388" s="7"/>
      <c r="C388" s="28"/>
      <c r="D388" s="28"/>
    </row>
    <row r="389" spans="1:4" x14ac:dyDescent="0.25">
      <c r="A389">
        <v>352</v>
      </c>
      <c r="B389" s="35"/>
      <c r="C389" s="36"/>
      <c r="D389" s="36"/>
    </row>
    <row r="390" spans="1:4" x14ac:dyDescent="0.25">
      <c r="A390">
        <v>353</v>
      </c>
      <c r="B390" s="7"/>
      <c r="C390" s="28"/>
      <c r="D390" s="28"/>
    </row>
    <row r="391" spans="1:4" x14ac:dyDescent="0.25">
      <c r="A391">
        <v>354</v>
      </c>
      <c r="B391" s="7"/>
      <c r="C391" s="28"/>
      <c r="D391" s="28"/>
    </row>
    <row r="392" spans="1:4" x14ac:dyDescent="0.25">
      <c r="A392">
        <v>355</v>
      </c>
      <c r="B392" s="7"/>
      <c r="C392" s="28"/>
      <c r="D392" s="28"/>
    </row>
    <row r="393" spans="1:4" x14ac:dyDescent="0.25">
      <c r="A393">
        <v>356</v>
      </c>
      <c r="B393" s="7"/>
      <c r="C393" s="28"/>
      <c r="D393" s="28"/>
    </row>
    <row r="394" spans="1:4" x14ac:dyDescent="0.25">
      <c r="A394">
        <v>357</v>
      </c>
      <c r="B394" s="7"/>
      <c r="C394" s="28"/>
      <c r="D394" s="28"/>
    </row>
    <row r="395" spans="1:4" x14ac:dyDescent="0.25">
      <c r="A395">
        <v>358</v>
      </c>
      <c r="B395" s="7"/>
      <c r="C395" s="28"/>
      <c r="D395" s="28"/>
    </row>
    <row r="396" spans="1:4" x14ac:dyDescent="0.25">
      <c r="A396">
        <v>359</v>
      </c>
      <c r="B396" s="35"/>
      <c r="C396" s="36"/>
      <c r="D396" s="36"/>
    </row>
    <row r="397" spans="1:4" x14ac:dyDescent="0.25">
      <c r="A397">
        <v>360</v>
      </c>
      <c r="B397" s="7"/>
      <c r="C397" s="28"/>
      <c r="D397" s="28"/>
    </row>
    <row r="398" spans="1:4" x14ac:dyDescent="0.25">
      <c r="A398">
        <v>361</v>
      </c>
      <c r="B398" s="7"/>
      <c r="C398" s="28"/>
      <c r="D398" s="28"/>
    </row>
    <row r="399" spans="1:4" x14ac:dyDescent="0.25">
      <c r="A399">
        <v>362</v>
      </c>
      <c r="B399" s="7"/>
      <c r="C399" s="28"/>
      <c r="D399" s="28"/>
    </row>
    <row r="400" spans="1:4" x14ac:dyDescent="0.25">
      <c r="A400">
        <v>363</v>
      </c>
      <c r="B400" s="7"/>
      <c r="C400" s="28"/>
      <c r="D400" s="28"/>
    </row>
    <row r="401" spans="1:4" x14ac:dyDescent="0.25">
      <c r="A401">
        <v>364</v>
      </c>
      <c r="B401" s="7"/>
      <c r="C401" s="28"/>
      <c r="D401" s="28"/>
    </row>
    <row r="402" spans="1:4" x14ac:dyDescent="0.25">
      <c r="A402">
        <v>365</v>
      </c>
      <c r="B402" s="7"/>
      <c r="C402" s="28"/>
      <c r="D402" s="28"/>
    </row>
    <row r="403" spans="1:4" x14ac:dyDescent="0.25">
      <c r="A403">
        <v>366</v>
      </c>
      <c r="B403" s="7"/>
      <c r="C403" s="28"/>
      <c r="D403" s="28"/>
    </row>
    <row r="404" spans="1:4" x14ac:dyDescent="0.25">
      <c r="A404">
        <v>367</v>
      </c>
      <c r="B404" s="7"/>
      <c r="C404" s="28"/>
      <c r="D404" s="28"/>
    </row>
    <row r="405" spans="1:4" x14ac:dyDescent="0.25">
      <c r="A405">
        <v>368</v>
      </c>
      <c r="B405" s="7"/>
      <c r="C405" s="28"/>
      <c r="D405" s="28"/>
    </row>
    <row r="406" spans="1:4" x14ac:dyDescent="0.25">
      <c r="A406">
        <v>369</v>
      </c>
      <c r="B406" s="7"/>
      <c r="C406" s="28"/>
      <c r="D406" s="28"/>
    </row>
    <row r="407" spans="1:4" x14ac:dyDescent="0.25">
      <c r="A407">
        <v>370</v>
      </c>
      <c r="B407" s="7"/>
      <c r="C407" s="28"/>
      <c r="D407" s="28"/>
    </row>
    <row r="408" spans="1:4" x14ac:dyDescent="0.25">
      <c r="A408">
        <v>371</v>
      </c>
      <c r="B408" s="7"/>
      <c r="C408" s="28"/>
      <c r="D408" s="28"/>
    </row>
    <row r="409" spans="1:4" x14ac:dyDescent="0.25">
      <c r="A409">
        <v>372</v>
      </c>
      <c r="B409" s="7"/>
      <c r="C409" s="28"/>
      <c r="D409" s="28"/>
    </row>
    <row r="410" spans="1:4" x14ac:dyDescent="0.25">
      <c r="A410">
        <v>373</v>
      </c>
      <c r="B410" s="7"/>
      <c r="C410" s="28"/>
      <c r="D410" s="28"/>
    </row>
    <row r="411" spans="1:4" x14ac:dyDescent="0.25">
      <c r="A411">
        <v>374</v>
      </c>
      <c r="B411" s="7"/>
      <c r="C411" s="28"/>
      <c r="D411" s="28"/>
    </row>
    <row r="412" spans="1:4" x14ac:dyDescent="0.25">
      <c r="A412">
        <v>375</v>
      </c>
      <c r="B412" s="7"/>
      <c r="C412" s="28"/>
      <c r="D412" s="28"/>
    </row>
    <row r="413" spans="1:4" x14ac:dyDescent="0.25">
      <c r="A413">
        <v>376</v>
      </c>
      <c r="B413" s="7"/>
      <c r="C413" s="28"/>
      <c r="D413" s="28"/>
    </row>
    <row r="414" spans="1:4" x14ac:dyDescent="0.25">
      <c r="A414">
        <v>377</v>
      </c>
      <c r="B414" s="7"/>
      <c r="C414" s="28"/>
      <c r="D414" s="28"/>
    </row>
    <row r="415" spans="1:4" x14ac:dyDescent="0.25">
      <c r="A415">
        <v>378</v>
      </c>
      <c r="B415" s="7"/>
      <c r="C415" s="28"/>
      <c r="D415" s="28"/>
    </row>
    <row r="416" spans="1:4" x14ac:dyDescent="0.25">
      <c r="A416">
        <v>379</v>
      </c>
      <c r="B416" s="7"/>
      <c r="C416" s="28"/>
      <c r="D416" s="28"/>
    </row>
    <row r="417" spans="1:4" x14ac:dyDescent="0.25">
      <c r="A417">
        <v>380</v>
      </c>
      <c r="B417" s="7"/>
      <c r="C417" s="28"/>
      <c r="D417" s="28"/>
    </row>
    <row r="418" spans="1:4" x14ac:dyDescent="0.25">
      <c r="A418">
        <v>381</v>
      </c>
      <c r="B418" s="7"/>
      <c r="C418" s="28"/>
      <c r="D418" s="28"/>
    </row>
    <row r="419" spans="1:4" x14ac:dyDescent="0.25">
      <c r="A419">
        <v>382</v>
      </c>
      <c r="B419" s="7"/>
      <c r="C419" s="28"/>
      <c r="D419" s="28"/>
    </row>
    <row r="420" spans="1:4" x14ac:dyDescent="0.25">
      <c r="A420">
        <v>383</v>
      </c>
      <c r="B420" s="7"/>
      <c r="C420" s="28"/>
      <c r="D420" s="28"/>
    </row>
    <row r="421" spans="1:4" x14ac:dyDescent="0.25">
      <c r="A421">
        <v>384</v>
      </c>
      <c r="B421" s="7"/>
      <c r="C421" s="28"/>
      <c r="D421" s="28"/>
    </row>
    <row r="422" spans="1:4" x14ac:dyDescent="0.25">
      <c r="A422">
        <v>385</v>
      </c>
      <c r="B422" s="7"/>
      <c r="C422" s="28"/>
      <c r="D422" s="28"/>
    </row>
    <row r="423" spans="1:4" x14ac:dyDescent="0.25">
      <c r="A423">
        <v>386</v>
      </c>
      <c r="B423" s="7"/>
      <c r="C423" s="28"/>
      <c r="D423" s="28"/>
    </row>
    <row r="424" spans="1:4" x14ac:dyDescent="0.25">
      <c r="A424">
        <v>387</v>
      </c>
      <c r="B424" s="7"/>
      <c r="C424" s="28"/>
      <c r="D424" s="28"/>
    </row>
    <row r="425" spans="1:4" x14ac:dyDescent="0.25">
      <c r="A425">
        <v>388</v>
      </c>
      <c r="B425" s="7"/>
      <c r="C425" s="28"/>
      <c r="D425" s="28"/>
    </row>
    <row r="426" spans="1:4" x14ac:dyDescent="0.25">
      <c r="A426">
        <v>389</v>
      </c>
      <c r="B426" s="7"/>
      <c r="C426" s="28"/>
      <c r="D426" s="28"/>
    </row>
    <row r="427" spans="1:4" x14ac:dyDescent="0.25">
      <c r="A427">
        <v>390</v>
      </c>
      <c r="B427" s="7"/>
      <c r="C427" s="28"/>
      <c r="D427" s="28"/>
    </row>
    <row r="428" spans="1:4" x14ac:dyDescent="0.25">
      <c r="A428">
        <v>391</v>
      </c>
      <c r="B428" s="7"/>
      <c r="C428" s="28"/>
      <c r="D428" s="28"/>
    </row>
    <row r="429" spans="1:4" x14ac:dyDescent="0.25">
      <c r="A429">
        <v>392</v>
      </c>
      <c r="B429" s="35"/>
      <c r="C429" s="36"/>
      <c r="D429" s="36"/>
    </row>
    <row r="430" spans="1:4" x14ac:dyDescent="0.25">
      <c r="A430">
        <v>393</v>
      </c>
      <c r="B430" s="7"/>
      <c r="C430" s="28"/>
      <c r="D430" s="28"/>
    </row>
    <row r="431" spans="1:4" x14ac:dyDescent="0.25">
      <c r="A431">
        <v>394</v>
      </c>
      <c r="B431" s="7"/>
      <c r="C431" s="28"/>
      <c r="D431" s="28"/>
    </row>
    <row r="432" spans="1:4" x14ac:dyDescent="0.25">
      <c r="A432">
        <v>395</v>
      </c>
      <c r="B432" s="7"/>
      <c r="C432" s="28"/>
      <c r="D432" s="28"/>
    </row>
    <row r="433" spans="1:4" x14ac:dyDescent="0.25">
      <c r="A433">
        <v>396</v>
      </c>
      <c r="B433" s="7"/>
      <c r="C433" s="28"/>
      <c r="D433" s="28"/>
    </row>
    <row r="434" spans="1:4" x14ac:dyDescent="0.25">
      <c r="A434">
        <v>397</v>
      </c>
      <c r="B434" s="7"/>
      <c r="C434" s="28"/>
      <c r="D434" s="28"/>
    </row>
    <row r="435" spans="1:4" ht="13" x14ac:dyDescent="0.3">
      <c r="A435">
        <v>398</v>
      </c>
      <c r="B435" s="7"/>
      <c r="C435" s="29"/>
      <c r="D435" s="28"/>
    </row>
    <row r="436" spans="1:4" x14ac:dyDescent="0.25">
      <c r="A436">
        <v>399</v>
      </c>
      <c r="B436" s="7"/>
      <c r="C436" s="28"/>
      <c r="D436" s="28"/>
    </row>
    <row r="437" spans="1:4" x14ac:dyDescent="0.25">
      <c r="A437">
        <v>400</v>
      </c>
      <c r="B437" s="7"/>
      <c r="C437" s="28"/>
      <c r="D437" s="28"/>
    </row>
    <row r="438" spans="1:4" x14ac:dyDescent="0.25">
      <c r="A438">
        <v>401</v>
      </c>
      <c r="B438" s="7"/>
      <c r="C438" s="28"/>
      <c r="D438" s="28"/>
    </row>
    <row r="439" spans="1:4" x14ac:dyDescent="0.25">
      <c r="A439">
        <v>402</v>
      </c>
      <c r="B439" s="7"/>
      <c r="C439" s="28"/>
      <c r="D439" s="28"/>
    </row>
    <row r="440" spans="1:4" x14ac:dyDescent="0.25">
      <c r="A440">
        <v>403</v>
      </c>
      <c r="B440" s="35"/>
      <c r="C440" s="36"/>
      <c r="D440" s="36"/>
    </row>
    <row r="441" spans="1:4" x14ac:dyDescent="0.25">
      <c r="A441">
        <v>404</v>
      </c>
      <c r="B441" s="7"/>
      <c r="C441" s="28"/>
      <c r="D441" s="28"/>
    </row>
    <row r="442" spans="1:4" x14ac:dyDescent="0.25">
      <c r="A442">
        <v>405</v>
      </c>
      <c r="B442" s="7"/>
      <c r="C442" s="28"/>
      <c r="D442" s="28"/>
    </row>
    <row r="443" spans="1:4" x14ac:dyDescent="0.25">
      <c r="A443">
        <v>406</v>
      </c>
      <c r="B443" s="7"/>
      <c r="C443" s="28"/>
      <c r="D443" s="28"/>
    </row>
    <row r="444" spans="1:4" x14ac:dyDescent="0.25">
      <c r="A444">
        <v>407</v>
      </c>
      <c r="B444" s="7"/>
      <c r="C444" s="28"/>
      <c r="D444" s="28"/>
    </row>
    <row r="445" spans="1:4" x14ac:dyDescent="0.25">
      <c r="A445">
        <v>408</v>
      </c>
      <c r="B445" s="7"/>
      <c r="C445" s="28"/>
      <c r="D445" s="28"/>
    </row>
    <row r="446" spans="1:4" x14ac:dyDescent="0.25">
      <c r="A446">
        <v>409</v>
      </c>
      <c r="B446" s="7"/>
      <c r="C446" s="28"/>
      <c r="D446" s="28"/>
    </row>
    <row r="447" spans="1:4" x14ac:dyDescent="0.25">
      <c r="A447">
        <v>410</v>
      </c>
      <c r="B447" s="7"/>
      <c r="C447" s="28"/>
      <c r="D447" s="28"/>
    </row>
    <row r="448" spans="1:4" x14ac:dyDescent="0.25">
      <c r="A448">
        <v>411</v>
      </c>
      <c r="B448" s="7"/>
      <c r="C448" s="28"/>
      <c r="D448" s="28"/>
    </row>
    <row r="449" spans="1:4" x14ac:dyDescent="0.25">
      <c r="A449">
        <v>412</v>
      </c>
      <c r="B449" s="7"/>
      <c r="C449" s="28"/>
      <c r="D449" s="28"/>
    </row>
    <row r="450" spans="1:4" x14ac:dyDescent="0.25">
      <c r="A450">
        <v>413</v>
      </c>
      <c r="B450" s="7"/>
      <c r="C450" s="28"/>
      <c r="D450" s="28"/>
    </row>
    <row r="451" spans="1:4" x14ac:dyDescent="0.25">
      <c r="A451">
        <v>414</v>
      </c>
      <c r="B451" s="7"/>
      <c r="C451" s="28"/>
      <c r="D451" s="28"/>
    </row>
    <row r="452" spans="1:4" x14ac:dyDescent="0.25">
      <c r="A452">
        <v>415</v>
      </c>
      <c r="B452" s="7"/>
      <c r="C452" s="28"/>
      <c r="D452" s="28"/>
    </row>
    <row r="453" spans="1:4" x14ac:dyDescent="0.25">
      <c r="A453">
        <v>416</v>
      </c>
      <c r="B453" s="7"/>
      <c r="C453" s="28"/>
      <c r="D453" s="28"/>
    </row>
    <row r="454" spans="1:4" x14ac:dyDescent="0.25">
      <c r="A454">
        <v>417</v>
      </c>
      <c r="B454" s="7"/>
      <c r="C454" s="28"/>
      <c r="D454" s="28"/>
    </row>
    <row r="455" spans="1:4" x14ac:dyDescent="0.25">
      <c r="A455">
        <v>418</v>
      </c>
      <c r="B455" s="7"/>
      <c r="C455" s="28"/>
      <c r="D455" s="28"/>
    </row>
    <row r="456" spans="1:4" x14ac:dyDescent="0.25">
      <c r="A456">
        <v>419</v>
      </c>
      <c r="B456" s="7"/>
      <c r="C456" s="28"/>
      <c r="D456" s="28"/>
    </row>
    <row r="457" spans="1:4" ht="13" x14ac:dyDescent="0.3">
      <c r="A457">
        <v>420</v>
      </c>
      <c r="B457" s="7"/>
      <c r="C457" s="29"/>
      <c r="D457" s="28"/>
    </row>
    <row r="458" spans="1:4" x14ac:dyDescent="0.25">
      <c r="A458">
        <v>421</v>
      </c>
      <c r="B458" s="7"/>
      <c r="C458" s="28"/>
      <c r="D458" s="28"/>
    </row>
    <row r="459" spans="1:4" x14ac:dyDescent="0.25">
      <c r="A459">
        <v>422</v>
      </c>
      <c r="B459" s="7"/>
      <c r="C459" s="28"/>
      <c r="D459" s="28"/>
    </row>
    <row r="460" spans="1:4" x14ac:dyDescent="0.25">
      <c r="A460">
        <v>423</v>
      </c>
      <c r="B460" s="7"/>
      <c r="C460" s="28"/>
      <c r="D460" s="28"/>
    </row>
    <row r="461" spans="1:4" x14ac:dyDescent="0.25">
      <c r="A461">
        <v>424</v>
      </c>
      <c r="B461" s="7"/>
      <c r="C461" s="28"/>
      <c r="D461" s="28"/>
    </row>
    <row r="462" spans="1:4" x14ac:dyDescent="0.25">
      <c r="A462">
        <v>425</v>
      </c>
      <c r="B462" s="7"/>
      <c r="C462" s="28"/>
      <c r="D462" s="28"/>
    </row>
    <row r="463" spans="1:4" ht="13" x14ac:dyDescent="0.3">
      <c r="A463">
        <v>426</v>
      </c>
      <c r="B463" s="7"/>
      <c r="C463" s="29"/>
      <c r="D463" s="28"/>
    </row>
    <row r="464" spans="1:4" x14ac:dyDescent="0.25">
      <c r="A464">
        <v>427</v>
      </c>
      <c r="B464" s="7"/>
      <c r="C464" s="28"/>
      <c r="D464" s="28"/>
    </row>
    <row r="465" spans="1:4" x14ac:dyDescent="0.25">
      <c r="A465">
        <v>428</v>
      </c>
      <c r="B465" s="35"/>
      <c r="C465" s="36"/>
      <c r="D465" s="36"/>
    </row>
    <row r="466" spans="1:4" x14ac:dyDescent="0.25">
      <c r="A466">
        <v>429</v>
      </c>
      <c r="B466" s="7"/>
      <c r="C466" s="28"/>
      <c r="D466" s="28"/>
    </row>
    <row r="467" spans="1:4" x14ac:dyDescent="0.25">
      <c r="A467">
        <v>430</v>
      </c>
      <c r="B467" s="7"/>
      <c r="C467" s="28"/>
      <c r="D467" s="28"/>
    </row>
    <row r="468" spans="1:4" x14ac:dyDescent="0.25">
      <c r="A468">
        <v>431</v>
      </c>
      <c r="B468" s="7"/>
      <c r="C468" s="28"/>
      <c r="D468" s="28"/>
    </row>
    <row r="469" spans="1:4" x14ac:dyDescent="0.25">
      <c r="A469">
        <v>432</v>
      </c>
      <c r="B469" s="7"/>
      <c r="C469" s="28"/>
      <c r="D469" s="28"/>
    </row>
    <row r="470" spans="1:4" x14ac:dyDescent="0.25">
      <c r="A470">
        <v>433</v>
      </c>
      <c r="B470" s="7"/>
      <c r="C470" s="28"/>
      <c r="D470" s="28"/>
    </row>
    <row r="471" spans="1:4" x14ac:dyDescent="0.25">
      <c r="A471">
        <v>434</v>
      </c>
      <c r="B471" s="7"/>
      <c r="C471" s="28"/>
      <c r="D471" s="28"/>
    </row>
    <row r="472" spans="1:4" x14ac:dyDescent="0.25">
      <c r="A472">
        <v>435</v>
      </c>
      <c r="B472" s="7"/>
      <c r="C472" s="28"/>
      <c r="D472" s="28"/>
    </row>
    <row r="473" spans="1:4" x14ac:dyDescent="0.25">
      <c r="A473">
        <v>436</v>
      </c>
      <c r="B473" s="7"/>
      <c r="C473" s="28"/>
      <c r="D473" s="28"/>
    </row>
    <row r="474" spans="1:4" x14ac:dyDescent="0.25">
      <c r="A474">
        <v>437</v>
      </c>
      <c r="B474" s="7"/>
      <c r="C474" s="28"/>
      <c r="D474" s="28"/>
    </row>
    <row r="475" spans="1:4" x14ac:dyDescent="0.25">
      <c r="A475">
        <v>438</v>
      </c>
      <c r="B475" s="7"/>
      <c r="C475" s="28"/>
      <c r="D475" s="28"/>
    </row>
    <row r="476" spans="1:4" x14ac:dyDescent="0.25">
      <c r="A476">
        <v>439</v>
      </c>
      <c r="B476" s="7"/>
      <c r="C476" s="28"/>
      <c r="D476" s="28"/>
    </row>
    <row r="477" spans="1:4" x14ac:dyDescent="0.25">
      <c r="A477">
        <v>440</v>
      </c>
      <c r="B477" s="7"/>
      <c r="C477" s="28"/>
      <c r="D477" s="28"/>
    </row>
    <row r="478" spans="1:4" x14ac:dyDescent="0.25">
      <c r="A478">
        <v>441</v>
      </c>
      <c r="B478" s="7"/>
      <c r="C478" s="28"/>
      <c r="D478" s="28"/>
    </row>
    <row r="479" spans="1:4" x14ac:dyDescent="0.25">
      <c r="A479">
        <v>442</v>
      </c>
      <c r="B479" s="7"/>
      <c r="C479" s="28"/>
      <c r="D479" s="28"/>
    </row>
    <row r="480" spans="1:4" x14ac:dyDescent="0.25">
      <c r="A480">
        <v>443</v>
      </c>
      <c r="B480" s="7"/>
      <c r="C480" s="28"/>
      <c r="D480" s="28"/>
    </row>
    <row r="481" spans="1:4" x14ac:dyDescent="0.25">
      <c r="A481">
        <v>444</v>
      </c>
      <c r="B481" s="7"/>
      <c r="C481" s="28"/>
      <c r="D481" s="28"/>
    </row>
    <row r="482" spans="1:4" x14ac:dyDescent="0.25">
      <c r="A482">
        <v>445</v>
      </c>
      <c r="B482" s="7"/>
      <c r="C482" s="28"/>
      <c r="D482" s="28"/>
    </row>
    <row r="483" spans="1:4" x14ac:dyDescent="0.25">
      <c r="A483">
        <v>446</v>
      </c>
      <c r="B483" s="7"/>
      <c r="C483" s="28"/>
      <c r="D483" s="28"/>
    </row>
    <row r="484" spans="1:4" x14ac:dyDescent="0.25">
      <c r="A484">
        <v>447</v>
      </c>
      <c r="B484" s="7"/>
      <c r="C484" s="28"/>
      <c r="D484" s="28"/>
    </row>
    <row r="485" spans="1:4" x14ac:dyDescent="0.25">
      <c r="A485">
        <v>448</v>
      </c>
      <c r="B485" s="7"/>
      <c r="C485" s="28"/>
      <c r="D485" s="28"/>
    </row>
    <row r="486" spans="1:4" x14ac:dyDescent="0.25">
      <c r="A486">
        <v>449</v>
      </c>
      <c r="B486" s="7"/>
      <c r="C486" s="28"/>
      <c r="D486" s="28"/>
    </row>
    <row r="487" spans="1:4" x14ac:dyDescent="0.25">
      <c r="A487">
        <v>450</v>
      </c>
      <c r="B487" s="7"/>
      <c r="C487" s="28"/>
      <c r="D487" s="28"/>
    </row>
    <row r="488" spans="1:4" x14ac:dyDescent="0.25">
      <c r="A488">
        <v>451</v>
      </c>
      <c r="B488" s="7"/>
      <c r="C488" s="28"/>
      <c r="D488" s="28"/>
    </row>
    <row r="489" spans="1:4" x14ac:dyDescent="0.25">
      <c r="A489">
        <v>452</v>
      </c>
      <c r="B489" s="7"/>
      <c r="C489" s="28"/>
      <c r="D489" s="28"/>
    </row>
    <row r="490" spans="1:4" x14ac:dyDescent="0.25">
      <c r="A490">
        <v>453</v>
      </c>
      <c r="B490" s="7"/>
      <c r="C490" s="28"/>
      <c r="D490" s="28"/>
    </row>
    <row r="491" spans="1:4" x14ac:dyDescent="0.25">
      <c r="A491">
        <v>454</v>
      </c>
      <c r="B491" s="7"/>
      <c r="C491" s="28"/>
      <c r="D491" s="28"/>
    </row>
    <row r="492" spans="1:4" x14ac:dyDescent="0.25">
      <c r="A492">
        <v>455</v>
      </c>
      <c r="B492" s="7"/>
      <c r="C492" s="28"/>
      <c r="D492" s="28"/>
    </row>
    <row r="493" spans="1:4" x14ac:dyDescent="0.25">
      <c r="A493">
        <v>456</v>
      </c>
      <c r="B493" s="7"/>
      <c r="C493" s="28"/>
      <c r="D493" s="28"/>
    </row>
    <row r="494" spans="1:4" x14ac:dyDescent="0.25">
      <c r="A494">
        <v>457</v>
      </c>
      <c r="B494" s="7"/>
      <c r="C494" s="28"/>
      <c r="D494" s="28"/>
    </row>
    <row r="495" spans="1:4" x14ac:dyDescent="0.25">
      <c r="A495">
        <v>458</v>
      </c>
      <c r="B495" s="7"/>
      <c r="C495" s="28"/>
      <c r="D495" s="28"/>
    </row>
    <row r="496" spans="1:4" x14ac:dyDescent="0.25">
      <c r="A496">
        <v>459</v>
      </c>
      <c r="B496" s="7"/>
      <c r="C496" s="28"/>
      <c r="D496" s="28"/>
    </row>
    <row r="497" spans="1:4" x14ac:dyDescent="0.25">
      <c r="A497">
        <v>460</v>
      </c>
      <c r="B497" s="7"/>
      <c r="C497" s="28"/>
      <c r="D497" s="28"/>
    </row>
    <row r="498" spans="1:4" x14ac:dyDescent="0.25">
      <c r="A498">
        <v>461</v>
      </c>
      <c r="B498" s="7"/>
      <c r="C498" s="28"/>
      <c r="D498" s="28"/>
    </row>
    <row r="499" spans="1:4" ht="13" x14ac:dyDescent="0.3">
      <c r="A499">
        <v>462</v>
      </c>
      <c r="B499" s="7"/>
      <c r="C499" s="29"/>
      <c r="D499" s="28"/>
    </row>
    <row r="500" spans="1:4" x14ac:dyDescent="0.25">
      <c r="A500">
        <v>463</v>
      </c>
      <c r="B500" s="7"/>
      <c r="C500" s="28"/>
      <c r="D500" s="28"/>
    </row>
    <row r="501" spans="1:4" x14ac:dyDescent="0.25">
      <c r="A501">
        <v>464</v>
      </c>
      <c r="B501" s="7"/>
      <c r="C501" s="28"/>
      <c r="D501" s="28"/>
    </row>
    <row r="502" spans="1:4" x14ac:dyDescent="0.25">
      <c r="A502">
        <v>465</v>
      </c>
      <c r="B502" s="7"/>
      <c r="C502" s="28"/>
      <c r="D502" s="28"/>
    </row>
    <row r="503" spans="1:4" x14ac:dyDescent="0.25">
      <c r="A503">
        <v>466</v>
      </c>
      <c r="B503" s="7"/>
      <c r="C503" s="28"/>
      <c r="D503" s="28"/>
    </row>
    <row r="504" spans="1:4" x14ac:dyDescent="0.25">
      <c r="A504">
        <v>467</v>
      </c>
      <c r="B504" s="7"/>
      <c r="C504" s="28"/>
      <c r="D504" s="28"/>
    </row>
    <row r="505" spans="1:4" ht="13" x14ac:dyDescent="0.3">
      <c r="A505">
        <v>468</v>
      </c>
      <c r="B505" s="7"/>
      <c r="C505" s="29"/>
      <c r="D505" s="28"/>
    </row>
    <row r="506" spans="1:4" x14ac:dyDescent="0.25">
      <c r="A506">
        <v>469</v>
      </c>
      <c r="B506" s="7"/>
      <c r="C506" s="28"/>
      <c r="D506" s="28"/>
    </row>
    <row r="507" spans="1:4" x14ac:dyDescent="0.25">
      <c r="A507">
        <v>470</v>
      </c>
      <c r="B507" s="7"/>
      <c r="C507" s="28"/>
      <c r="D507" s="28"/>
    </row>
    <row r="508" spans="1:4" x14ac:dyDescent="0.25">
      <c r="A508">
        <v>471</v>
      </c>
      <c r="B508" s="7"/>
      <c r="C508" s="28"/>
      <c r="D508" s="28"/>
    </row>
    <row r="509" spans="1:4" x14ac:dyDescent="0.25">
      <c r="A509">
        <v>472</v>
      </c>
      <c r="B509" s="35"/>
      <c r="C509" s="36"/>
      <c r="D509" s="36"/>
    </row>
    <row r="510" spans="1:4" x14ac:dyDescent="0.25">
      <c r="A510">
        <v>473</v>
      </c>
      <c r="B510" s="7"/>
      <c r="C510" s="28"/>
      <c r="D510" s="28"/>
    </row>
    <row r="511" spans="1:4" x14ac:dyDescent="0.25">
      <c r="A511">
        <v>474</v>
      </c>
      <c r="B511" s="7"/>
      <c r="C511" s="28"/>
      <c r="D511" s="28"/>
    </row>
    <row r="512" spans="1:4" x14ac:dyDescent="0.25">
      <c r="A512">
        <v>475</v>
      </c>
      <c r="B512" s="7"/>
      <c r="C512" s="28"/>
      <c r="D512" s="28"/>
    </row>
    <row r="513" spans="1:4" x14ac:dyDescent="0.25">
      <c r="A513">
        <v>476</v>
      </c>
      <c r="B513" s="7"/>
      <c r="C513" s="28"/>
      <c r="D513" s="28"/>
    </row>
    <row r="514" spans="1:4" x14ac:dyDescent="0.25">
      <c r="A514">
        <v>477</v>
      </c>
      <c r="B514" s="7"/>
      <c r="C514" s="28"/>
      <c r="D514" s="28"/>
    </row>
    <row r="515" spans="1:4" x14ac:dyDescent="0.25">
      <c r="A515">
        <v>478</v>
      </c>
      <c r="B515" s="7"/>
      <c r="C515" s="28"/>
      <c r="D515" s="28"/>
    </row>
    <row r="516" spans="1:4" x14ac:dyDescent="0.25">
      <c r="A516">
        <v>479</v>
      </c>
      <c r="B516" s="7"/>
      <c r="C516" s="28"/>
      <c r="D516" s="28"/>
    </row>
    <row r="517" spans="1:4" x14ac:dyDescent="0.25">
      <c r="A517">
        <v>480</v>
      </c>
      <c r="B517" s="7"/>
      <c r="C517" s="28"/>
      <c r="D517" s="28"/>
    </row>
    <row r="518" spans="1:4" x14ac:dyDescent="0.25">
      <c r="A518">
        <v>481</v>
      </c>
      <c r="B518" s="7"/>
      <c r="C518" s="28"/>
      <c r="D518" s="28"/>
    </row>
    <row r="519" spans="1:4" x14ac:dyDescent="0.25">
      <c r="A519">
        <v>482</v>
      </c>
      <c r="B519" s="7"/>
      <c r="C519" s="28"/>
      <c r="D519" s="28"/>
    </row>
    <row r="520" spans="1:4" x14ac:dyDescent="0.25">
      <c r="A520">
        <v>483</v>
      </c>
      <c r="B520" s="7"/>
      <c r="C520" s="28"/>
      <c r="D520" s="28"/>
    </row>
    <row r="521" spans="1:4" x14ac:dyDescent="0.25">
      <c r="A521">
        <v>484</v>
      </c>
      <c r="B521" s="7"/>
      <c r="C521" s="28"/>
      <c r="D521" s="28"/>
    </row>
    <row r="522" spans="1:4" ht="13" x14ac:dyDescent="0.3">
      <c r="A522">
        <v>485</v>
      </c>
      <c r="B522" s="7"/>
      <c r="C522" s="29"/>
      <c r="D522" s="28"/>
    </row>
    <row r="523" spans="1:4" x14ac:dyDescent="0.25">
      <c r="A523">
        <v>486</v>
      </c>
      <c r="B523" s="7"/>
      <c r="C523" s="28"/>
      <c r="D523" s="28"/>
    </row>
    <row r="524" spans="1:4" x14ac:dyDescent="0.25">
      <c r="A524">
        <v>487</v>
      </c>
      <c r="B524" s="7"/>
      <c r="C524" s="28"/>
      <c r="D524" s="28"/>
    </row>
    <row r="525" spans="1:4" x14ac:dyDescent="0.25">
      <c r="A525">
        <v>488</v>
      </c>
      <c r="B525" s="7"/>
      <c r="C525" s="28"/>
      <c r="D525" s="28"/>
    </row>
    <row r="526" spans="1:4" x14ac:dyDescent="0.25">
      <c r="A526">
        <v>489</v>
      </c>
      <c r="B526" s="7"/>
      <c r="C526" s="28"/>
      <c r="D526" s="28"/>
    </row>
    <row r="527" spans="1:4" x14ac:dyDescent="0.25">
      <c r="A527">
        <v>490</v>
      </c>
      <c r="B527" s="7"/>
      <c r="C527" s="28"/>
      <c r="D527" s="28"/>
    </row>
    <row r="528" spans="1:4" x14ac:dyDescent="0.25">
      <c r="A528">
        <v>491</v>
      </c>
      <c r="B528" s="7"/>
      <c r="C528" s="28"/>
      <c r="D528" s="28"/>
    </row>
    <row r="529" spans="1:4" x14ac:dyDescent="0.25">
      <c r="A529">
        <v>492</v>
      </c>
      <c r="B529" s="7"/>
      <c r="C529" s="28"/>
      <c r="D529" s="28"/>
    </row>
    <row r="530" spans="1:4" x14ac:dyDescent="0.25">
      <c r="A530">
        <v>493</v>
      </c>
      <c r="B530" s="7"/>
      <c r="C530" s="28"/>
      <c r="D530" s="28"/>
    </row>
    <row r="531" spans="1:4" x14ac:dyDescent="0.25">
      <c r="A531">
        <v>494</v>
      </c>
      <c r="B531" s="7"/>
      <c r="C531" s="28"/>
      <c r="D531" s="28"/>
    </row>
    <row r="532" spans="1:4" x14ac:dyDescent="0.25">
      <c r="A532">
        <v>495</v>
      </c>
      <c r="B532" s="7"/>
      <c r="C532" s="28"/>
      <c r="D532" s="28"/>
    </row>
    <row r="533" spans="1:4" x14ac:dyDescent="0.25">
      <c r="A533">
        <v>496</v>
      </c>
      <c r="B533" s="35"/>
      <c r="C533" s="36"/>
      <c r="D533" s="36"/>
    </row>
    <row r="534" spans="1:4" x14ac:dyDescent="0.25">
      <c r="A534">
        <v>497</v>
      </c>
      <c r="B534" s="7"/>
      <c r="C534" s="28"/>
      <c r="D534" s="28"/>
    </row>
    <row r="535" spans="1:4" x14ac:dyDescent="0.25">
      <c r="A535">
        <v>498</v>
      </c>
      <c r="B535" s="7"/>
      <c r="C535" s="28"/>
      <c r="D535" s="28"/>
    </row>
    <row r="536" spans="1:4" x14ac:dyDescent="0.25">
      <c r="A536">
        <v>499</v>
      </c>
      <c r="B536" s="7"/>
      <c r="C536" s="28"/>
      <c r="D536" s="28"/>
    </row>
    <row r="537" spans="1:4" x14ac:dyDescent="0.25">
      <c r="A537">
        <v>500</v>
      </c>
      <c r="B537" s="7"/>
      <c r="C537" s="28"/>
      <c r="D537" s="28"/>
    </row>
    <row r="538" spans="1:4" x14ac:dyDescent="0.25">
      <c r="A538">
        <v>501</v>
      </c>
      <c r="B538" s="7"/>
      <c r="C538" s="28"/>
      <c r="D538" s="28"/>
    </row>
    <row r="539" spans="1:4" x14ac:dyDescent="0.25">
      <c r="A539">
        <v>502</v>
      </c>
      <c r="B539" s="7"/>
      <c r="C539" s="28"/>
      <c r="D539" s="28"/>
    </row>
    <row r="540" spans="1:4" x14ac:dyDescent="0.25">
      <c r="A540">
        <v>503</v>
      </c>
      <c r="B540" s="7"/>
      <c r="C540" s="28"/>
      <c r="D540" s="28"/>
    </row>
    <row r="541" spans="1:4" x14ac:dyDescent="0.25">
      <c r="A541">
        <v>504</v>
      </c>
      <c r="B541" s="7"/>
      <c r="C541" s="28"/>
      <c r="D541" s="28"/>
    </row>
    <row r="542" spans="1:4" x14ac:dyDescent="0.25">
      <c r="A542">
        <v>505</v>
      </c>
      <c r="B542" s="7"/>
      <c r="C542" s="28"/>
      <c r="D542" s="28"/>
    </row>
    <row r="543" spans="1:4" x14ac:dyDescent="0.25">
      <c r="A543">
        <v>506</v>
      </c>
      <c r="B543" s="35"/>
      <c r="C543" s="36"/>
      <c r="D543" s="36"/>
    </row>
    <row r="544" spans="1:4" x14ac:dyDescent="0.25">
      <c r="A544">
        <v>507</v>
      </c>
      <c r="B544" s="7"/>
      <c r="C544" s="28"/>
      <c r="D544" s="28"/>
    </row>
    <row r="545" spans="1:4" x14ac:dyDescent="0.25">
      <c r="A545">
        <v>508</v>
      </c>
      <c r="B545" s="7"/>
      <c r="C545" s="28"/>
      <c r="D545" s="28"/>
    </row>
    <row r="546" spans="1:4" x14ac:dyDescent="0.25">
      <c r="A546">
        <v>509</v>
      </c>
      <c r="B546" s="7"/>
      <c r="C546" s="28"/>
      <c r="D546" s="28"/>
    </row>
    <row r="547" spans="1:4" x14ac:dyDescent="0.25">
      <c r="A547">
        <v>510</v>
      </c>
      <c r="B547" s="7"/>
      <c r="C547" s="28"/>
      <c r="D547" s="28"/>
    </row>
    <row r="548" spans="1:4" x14ac:dyDescent="0.25">
      <c r="A548">
        <v>511</v>
      </c>
      <c r="B548" s="7"/>
      <c r="C548" s="28"/>
      <c r="D548" s="28"/>
    </row>
    <row r="549" spans="1:4" x14ac:dyDescent="0.25">
      <c r="A549">
        <v>512</v>
      </c>
      <c r="B549" s="7"/>
      <c r="C549" s="28"/>
      <c r="D549" s="28"/>
    </row>
    <row r="550" spans="1:4" x14ac:dyDescent="0.25">
      <c r="A550">
        <v>513</v>
      </c>
      <c r="B550" s="7"/>
      <c r="C550" s="28"/>
      <c r="D550" s="28"/>
    </row>
    <row r="551" spans="1:4" x14ac:dyDescent="0.25">
      <c r="A551">
        <v>514</v>
      </c>
      <c r="B551" s="7"/>
      <c r="C551" s="28"/>
      <c r="D551" s="28"/>
    </row>
    <row r="552" spans="1:4" x14ac:dyDescent="0.25">
      <c r="A552">
        <v>515</v>
      </c>
      <c r="B552" s="7"/>
      <c r="C552" s="28"/>
      <c r="D552" s="28"/>
    </row>
    <row r="553" spans="1:4" x14ac:dyDescent="0.25">
      <c r="A553">
        <v>516</v>
      </c>
      <c r="B553" s="7"/>
      <c r="C553" s="28"/>
      <c r="D553" s="28"/>
    </row>
    <row r="554" spans="1:4" x14ac:dyDescent="0.25">
      <c r="A554">
        <v>517</v>
      </c>
      <c r="B554" s="7"/>
      <c r="C554" s="28"/>
      <c r="D554" s="28"/>
    </row>
    <row r="555" spans="1:4" x14ac:dyDescent="0.25">
      <c r="A555">
        <v>518</v>
      </c>
      <c r="B555" s="7"/>
      <c r="C555" s="28"/>
      <c r="D555" s="28"/>
    </row>
    <row r="556" spans="1:4" x14ac:dyDescent="0.25">
      <c r="A556">
        <v>519</v>
      </c>
      <c r="B556" s="7"/>
      <c r="C556" s="28"/>
      <c r="D556" s="28"/>
    </row>
    <row r="557" spans="1:4" x14ac:dyDescent="0.25">
      <c r="A557">
        <v>520</v>
      </c>
      <c r="B557" s="7"/>
      <c r="C557" s="28"/>
      <c r="D557" s="28"/>
    </row>
    <row r="558" spans="1:4" x14ac:dyDescent="0.25">
      <c r="A558">
        <v>521</v>
      </c>
      <c r="B558" s="7"/>
      <c r="C558" s="28"/>
      <c r="D558" s="28"/>
    </row>
    <row r="559" spans="1:4" x14ac:dyDescent="0.25">
      <c r="A559">
        <v>522</v>
      </c>
      <c r="B559" s="7"/>
      <c r="C559" s="28"/>
      <c r="D559" s="28"/>
    </row>
    <row r="560" spans="1:4" x14ac:dyDescent="0.25">
      <c r="A560">
        <v>523</v>
      </c>
      <c r="B560" s="7"/>
      <c r="C560" s="28"/>
      <c r="D560" s="28"/>
    </row>
    <row r="561" spans="1:4" x14ac:dyDescent="0.25">
      <c r="A561">
        <v>524</v>
      </c>
      <c r="B561" s="7"/>
      <c r="C561" s="28"/>
      <c r="D561" s="28"/>
    </row>
    <row r="562" spans="1:4" x14ac:dyDescent="0.25">
      <c r="A562">
        <v>525</v>
      </c>
      <c r="B562" s="7"/>
      <c r="C562" s="28"/>
      <c r="D562" s="28"/>
    </row>
    <row r="563" spans="1:4" x14ac:dyDescent="0.25">
      <c r="A563">
        <v>526</v>
      </c>
      <c r="B563" s="7"/>
      <c r="C563" s="28"/>
      <c r="D563" s="28"/>
    </row>
    <row r="564" spans="1:4" x14ac:dyDescent="0.25">
      <c r="A564">
        <v>527</v>
      </c>
      <c r="B564" s="7"/>
      <c r="C564" s="28"/>
      <c r="D564" s="28"/>
    </row>
    <row r="565" spans="1:4" x14ac:dyDescent="0.25">
      <c r="A565">
        <v>528</v>
      </c>
      <c r="B565" s="7"/>
      <c r="C565" s="28"/>
      <c r="D565" s="28"/>
    </row>
    <row r="566" spans="1:4" x14ac:dyDescent="0.25">
      <c r="A566">
        <v>529</v>
      </c>
      <c r="B566" s="7"/>
      <c r="C566" s="28"/>
      <c r="D566" s="28"/>
    </row>
    <row r="567" spans="1:4" x14ac:dyDescent="0.25">
      <c r="A567">
        <v>530</v>
      </c>
      <c r="B567" s="7"/>
      <c r="C567" s="28"/>
      <c r="D567" s="28"/>
    </row>
    <row r="568" spans="1:4" x14ac:dyDescent="0.25">
      <c r="A568">
        <v>531</v>
      </c>
      <c r="B568" s="7"/>
      <c r="C568" s="28"/>
      <c r="D568" s="28"/>
    </row>
    <row r="569" spans="1:4" x14ac:dyDescent="0.25">
      <c r="A569">
        <v>532</v>
      </c>
      <c r="B569" s="7"/>
      <c r="C569" s="28"/>
      <c r="D569" s="28"/>
    </row>
    <row r="570" spans="1:4" x14ac:dyDescent="0.25">
      <c r="A570">
        <v>533</v>
      </c>
      <c r="B570" s="7"/>
      <c r="C570" s="28"/>
      <c r="D570" s="28"/>
    </row>
    <row r="571" spans="1:4" x14ac:dyDescent="0.25">
      <c r="A571">
        <v>534</v>
      </c>
      <c r="B571" s="7"/>
      <c r="C571" s="28"/>
      <c r="D571" s="28"/>
    </row>
    <row r="572" spans="1:4" x14ac:dyDescent="0.25">
      <c r="A572">
        <v>535</v>
      </c>
      <c r="B572" s="7"/>
      <c r="C572" s="28"/>
      <c r="D572" s="28"/>
    </row>
    <row r="573" spans="1:4" x14ac:dyDescent="0.25">
      <c r="A573">
        <v>536</v>
      </c>
      <c r="B573" s="7"/>
      <c r="C573" s="28"/>
      <c r="D573" s="28"/>
    </row>
    <row r="574" spans="1:4" x14ac:dyDescent="0.25">
      <c r="A574">
        <v>537</v>
      </c>
      <c r="B574" s="7"/>
      <c r="C574" s="28"/>
      <c r="D574" s="28"/>
    </row>
    <row r="575" spans="1:4" x14ac:dyDescent="0.25">
      <c r="A575">
        <v>538</v>
      </c>
      <c r="B575" s="7"/>
      <c r="C575" s="28"/>
      <c r="D575" s="28"/>
    </row>
    <row r="576" spans="1:4" x14ac:dyDescent="0.25">
      <c r="A576">
        <v>539</v>
      </c>
      <c r="B576" s="7"/>
      <c r="C576" s="28"/>
      <c r="D576" s="28"/>
    </row>
    <row r="577" spans="1:4" x14ac:dyDescent="0.25">
      <c r="A577">
        <v>540</v>
      </c>
      <c r="B577" s="7"/>
      <c r="C577" s="28"/>
      <c r="D577" s="28"/>
    </row>
    <row r="578" spans="1:4" x14ac:dyDescent="0.25">
      <c r="A578">
        <v>541</v>
      </c>
      <c r="B578" s="7"/>
      <c r="C578" s="28"/>
      <c r="D578" s="28"/>
    </row>
    <row r="579" spans="1:4" x14ac:dyDescent="0.25">
      <c r="A579">
        <v>542</v>
      </c>
      <c r="B579" s="7"/>
      <c r="C579" s="28"/>
      <c r="D579" s="28"/>
    </row>
    <row r="580" spans="1:4" x14ac:dyDescent="0.25">
      <c r="A580">
        <v>543</v>
      </c>
      <c r="B580" s="7"/>
      <c r="C580" s="28"/>
      <c r="D580" s="28"/>
    </row>
    <row r="581" spans="1:4" x14ac:dyDescent="0.25">
      <c r="A581">
        <v>544</v>
      </c>
      <c r="B581" s="7"/>
      <c r="C581" s="28"/>
      <c r="D581" s="28"/>
    </row>
    <row r="582" spans="1:4" x14ac:dyDescent="0.25">
      <c r="A582">
        <v>545</v>
      </c>
      <c r="B582" s="7"/>
      <c r="C582" s="28"/>
      <c r="D582" s="28"/>
    </row>
    <row r="583" spans="1:4" x14ac:dyDescent="0.25">
      <c r="A583">
        <v>546</v>
      </c>
      <c r="B583" s="7"/>
      <c r="C583" s="28"/>
      <c r="D583" s="28"/>
    </row>
    <row r="584" spans="1:4" x14ac:dyDescent="0.25">
      <c r="A584">
        <v>547</v>
      </c>
      <c r="B584" s="7"/>
      <c r="C584" s="28"/>
      <c r="D584" s="28"/>
    </row>
    <row r="585" spans="1:4" x14ac:dyDescent="0.25">
      <c r="A585">
        <v>548</v>
      </c>
      <c r="B585" s="7"/>
      <c r="C585" s="28"/>
      <c r="D585" s="28"/>
    </row>
    <row r="586" spans="1:4" x14ac:dyDescent="0.25">
      <c r="A586">
        <v>549</v>
      </c>
      <c r="B586" s="7"/>
      <c r="C586" s="28"/>
      <c r="D586" s="28"/>
    </row>
    <row r="587" spans="1:4" x14ac:dyDescent="0.25">
      <c r="A587">
        <v>550</v>
      </c>
      <c r="B587" s="7"/>
      <c r="C587" s="28"/>
      <c r="D587" s="28"/>
    </row>
    <row r="588" spans="1:4" x14ac:dyDescent="0.25">
      <c r="A588">
        <v>551</v>
      </c>
      <c r="B588" s="7"/>
      <c r="C588" s="28"/>
      <c r="D588" s="28"/>
    </row>
    <row r="589" spans="1:4" x14ac:dyDescent="0.25">
      <c r="A589">
        <v>552</v>
      </c>
      <c r="B589" s="7"/>
      <c r="C589" s="28"/>
      <c r="D589" s="28"/>
    </row>
    <row r="590" spans="1:4" x14ac:dyDescent="0.25">
      <c r="A590">
        <v>553</v>
      </c>
      <c r="B590" s="7"/>
      <c r="C590" s="28"/>
      <c r="D590" s="28"/>
    </row>
    <row r="591" spans="1:4" x14ac:dyDescent="0.25">
      <c r="A591">
        <v>554</v>
      </c>
      <c r="B591" s="7"/>
      <c r="C591" s="28"/>
      <c r="D591" s="28"/>
    </row>
    <row r="592" spans="1:4" x14ac:dyDescent="0.25">
      <c r="A592">
        <v>555</v>
      </c>
      <c r="B592" s="7"/>
      <c r="C592" s="28"/>
      <c r="D592" s="28"/>
    </row>
    <row r="593" spans="1:4" x14ac:dyDescent="0.25">
      <c r="A593">
        <v>556</v>
      </c>
      <c r="B593" s="7"/>
      <c r="C593" s="28"/>
      <c r="D593" s="28"/>
    </row>
    <row r="594" spans="1:4" x14ac:dyDescent="0.25">
      <c r="A594">
        <v>557</v>
      </c>
      <c r="B594" s="7"/>
      <c r="C594" s="28"/>
      <c r="D594" s="28"/>
    </row>
    <row r="595" spans="1:4" x14ac:dyDescent="0.25">
      <c r="A595">
        <v>558</v>
      </c>
      <c r="B595" s="7"/>
      <c r="C595" s="28"/>
      <c r="D595" s="28"/>
    </row>
    <row r="596" spans="1:4" x14ac:dyDescent="0.25">
      <c r="A596">
        <v>559</v>
      </c>
      <c r="B596" s="7"/>
      <c r="C596" s="28"/>
      <c r="D596" s="28"/>
    </row>
    <row r="597" spans="1:4" x14ac:dyDescent="0.25">
      <c r="A597">
        <v>560</v>
      </c>
      <c r="B597" s="7"/>
      <c r="C597" s="28"/>
      <c r="D597" s="28"/>
    </row>
    <row r="598" spans="1:4" x14ac:dyDescent="0.25">
      <c r="A598">
        <v>561</v>
      </c>
      <c r="B598" s="7"/>
      <c r="C598" s="28"/>
      <c r="D598" s="28"/>
    </row>
    <row r="599" spans="1:4" x14ac:dyDescent="0.25">
      <c r="A599">
        <v>562</v>
      </c>
      <c r="B599" s="7"/>
      <c r="C599" s="28"/>
      <c r="D599" s="28"/>
    </row>
    <row r="600" spans="1:4" x14ac:dyDescent="0.25">
      <c r="A600">
        <v>563</v>
      </c>
      <c r="B600" s="7"/>
      <c r="C600" s="28"/>
      <c r="D600" s="28"/>
    </row>
    <row r="601" spans="1:4" x14ac:dyDescent="0.25">
      <c r="A601">
        <v>564</v>
      </c>
      <c r="B601" s="7"/>
      <c r="C601" s="28"/>
      <c r="D601" s="28"/>
    </row>
    <row r="602" spans="1:4" x14ac:dyDescent="0.25">
      <c r="A602">
        <v>565</v>
      </c>
      <c r="B602" s="7"/>
      <c r="C602" s="28"/>
      <c r="D602" s="28"/>
    </row>
    <row r="603" spans="1:4" x14ac:dyDescent="0.25">
      <c r="A603">
        <v>566</v>
      </c>
      <c r="B603" s="7"/>
      <c r="C603" s="28"/>
      <c r="D603" s="28"/>
    </row>
    <row r="604" spans="1:4" x14ac:dyDescent="0.25">
      <c r="A604">
        <v>567</v>
      </c>
      <c r="B604" s="7"/>
      <c r="C604" s="28"/>
      <c r="D604" s="28"/>
    </row>
    <row r="605" spans="1:4" x14ac:dyDescent="0.25">
      <c r="A605">
        <v>568</v>
      </c>
      <c r="B605" s="7"/>
      <c r="C605" s="28"/>
      <c r="D605" s="28"/>
    </row>
    <row r="606" spans="1:4" x14ac:dyDescent="0.25">
      <c r="A606">
        <v>569</v>
      </c>
      <c r="B606" s="7"/>
      <c r="C606" s="28"/>
      <c r="D606" s="28"/>
    </row>
    <row r="607" spans="1:4" x14ac:dyDescent="0.25">
      <c r="A607">
        <v>570</v>
      </c>
      <c r="B607" s="7"/>
      <c r="C607" s="28"/>
      <c r="D607" s="28"/>
    </row>
    <row r="608" spans="1:4" x14ac:dyDescent="0.25">
      <c r="A608">
        <v>571</v>
      </c>
      <c r="B608" s="7"/>
      <c r="C608" s="28"/>
      <c r="D608" s="28"/>
    </row>
    <row r="609" spans="1:4" x14ac:dyDescent="0.25">
      <c r="A609">
        <v>572</v>
      </c>
      <c r="B609" s="7"/>
      <c r="C609" s="28"/>
      <c r="D609" s="28"/>
    </row>
    <row r="610" spans="1:4" x14ac:dyDescent="0.25">
      <c r="A610">
        <v>573</v>
      </c>
      <c r="B610" s="7"/>
      <c r="C610" s="28"/>
      <c r="D610" s="28"/>
    </row>
    <row r="611" spans="1:4" x14ac:dyDescent="0.25">
      <c r="A611">
        <v>574</v>
      </c>
      <c r="B611" s="7"/>
      <c r="C611" s="28"/>
      <c r="D611" s="28"/>
    </row>
    <row r="612" spans="1:4" x14ac:dyDescent="0.25">
      <c r="A612">
        <v>575</v>
      </c>
      <c r="B612" s="7"/>
      <c r="C612" s="28"/>
      <c r="D612" s="28"/>
    </row>
    <row r="613" spans="1:4" x14ac:dyDescent="0.25">
      <c r="A613">
        <v>576</v>
      </c>
      <c r="B613" s="7"/>
      <c r="C613" s="28"/>
      <c r="D613" s="28"/>
    </row>
    <row r="614" spans="1:4" x14ac:dyDescent="0.25">
      <c r="A614">
        <v>577</v>
      </c>
      <c r="B614" s="7"/>
      <c r="C614" s="28"/>
      <c r="D614" s="28"/>
    </row>
    <row r="615" spans="1:4" x14ac:dyDescent="0.25">
      <c r="A615">
        <v>578</v>
      </c>
      <c r="B615" s="7"/>
      <c r="C615" s="28"/>
      <c r="D615" s="28"/>
    </row>
    <row r="616" spans="1:4" x14ac:dyDescent="0.25">
      <c r="A616">
        <v>579</v>
      </c>
      <c r="B616" s="35"/>
      <c r="C616" s="36"/>
      <c r="D616" s="36"/>
    </row>
    <row r="617" spans="1:4" x14ac:dyDescent="0.25">
      <c r="A617">
        <v>580</v>
      </c>
      <c r="B617" s="7"/>
      <c r="C617" s="28"/>
      <c r="D617" s="28"/>
    </row>
    <row r="618" spans="1:4" x14ac:dyDescent="0.25">
      <c r="A618">
        <v>581</v>
      </c>
      <c r="B618" s="7"/>
      <c r="C618" s="28"/>
      <c r="D618" s="28"/>
    </row>
    <row r="619" spans="1:4" x14ac:dyDescent="0.25">
      <c r="A619">
        <v>582</v>
      </c>
      <c r="B619" s="7"/>
      <c r="C619" s="28"/>
      <c r="D619" s="28"/>
    </row>
    <row r="620" spans="1:4" x14ac:dyDescent="0.25">
      <c r="A620">
        <v>583</v>
      </c>
      <c r="B620" s="7"/>
      <c r="C620" s="28"/>
      <c r="D620" s="28"/>
    </row>
    <row r="621" spans="1:4" x14ac:dyDescent="0.25">
      <c r="A621">
        <v>584</v>
      </c>
      <c r="B621" s="7"/>
      <c r="C621" s="28"/>
      <c r="D621" s="28"/>
    </row>
    <row r="622" spans="1:4" x14ac:dyDescent="0.25">
      <c r="A622">
        <v>585</v>
      </c>
      <c r="B622" s="7"/>
      <c r="C622" s="28"/>
      <c r="D622" s="28"/>
    </row>
    <row r="623" spans="1:4" x14ac:dyDescent="0.25">
      <c r="A623">
        <v>586</v>
      </c>
      <c r="B623" s="7"/>
      <c r="C623" s="28"/>
      <c r="D623" s="28"/>
    </row>
    <row r="624" spans="1:4" x14ac:dyDescent="0.25">
      <c r="A624">
        <v>587</v>
      </c>
      <c r="B624" s="7"/>
      <c r="C624" s="28"/>
      <c r="D624" s="28"/>
    </row>
    <row r="625" spans="1:4" x14ac:dyDescent="0.25">
      <c r="A625">
        <v>588</v>
      </c>
      <c r="B625" s="7"/>
      <c r="C625" s="28"/>
      <c r="D625" s="28"/>
    </row>
    <row r="626" spans="1:4" x14ac:dyDescent="0.25">
      <c r="A626">
        <v>589</v>
      </c>
      <c r="B626" s="7"/>
      <c r="C626" s="28"/>
      <c r="D626" s="28"/>
    </row>
    <row r="627" spans="1:4" x14ac:dyDescent="0.25">
      <c r="A627">
        <v>590</v>
      </c>
      <c r="B627" s="7"/>
      <c r="C627" s="28"/>
      <c r="D627" s="28"/>
    </row>
    <row r="628" spans="1:4" x14ac:dyDescent="0.25">
      <c r="A628">
        <v>591</v>
      </c>
      <c r="B628" s="7"/>
      <c r="C628" s="28"/>
      <c r="D628" s="28"/>
    </row>
    <row r="629" spans="1:4" x14ac:dyDescent="0.25">
      <c r="A629">
        <v>592</v>
      </c>
      <c r="B629" s="7"/>
      <c r="C629" s="28"/>
      <c r="D629" s="28"/>
    </row>
    <row r="630" spans="1:4" x14ac:dyDescent="0.25">
      <c r="A630">
        <v>593</v>
      </c>
      <c r="B630" s="7"/>
      <c r="C630" s="28"/>
      <c r="D630" s="28"/>
    </row>
    <row r="631" spans="1:4" x14ac:dyDescent="0.25">
      <c r="A631">
        <v>594</v>
      </c>
      <c r="B631" s="7"/>
      <c r="C631" s="28"/>
      <c r="D631" s="28"/>
    </row>
    <row r="632" spans="1:4" x14ac:dyDescent="0.25">
      <c r="A632">
        <v>595</v>
      </c>
      <c r="B632" s="7"/>
      <c r="C632" s="28"/>
      <c r="D632" s="28"/>
    </row>
    <row r="633" spans="1:4" x14ac:dyDescent="0.25">
      <c r="A633">
        <v>596</v>
      </c>
      <c r="B633" s="7"/>
      <c r="C633" s="28"/>
      <c r="D633" s="28"/>
    </row>
    <row r="634" spans="1:4" x14ac:dyDescent="0.25">
      <c r="A634">
        <v>597</v>
      </c>
      <c r="B634" s="7"/>
      <c r="C634" s="28"/>
      <c r="D634" s="28"/>
    </row>
    <row r="635" spans="1:4" x14ac:dyDescent="0.25">
      <c r="A635">
        <v>598</v>
      </c>
      <c r="B635" s="7"/>
      <c r="C635" s="28"/>
      <c r="D635" s="28"/>
    </row>
    <row r="636" spans="1:4" x14ac:dyDescent="0.25">
      <c r="A636">
        <v>599</v>
      </c>
      <c r="B636" s="7"/>
      <c r="C636" s="28"/>
      <c r="D636" s="28"/>
    </row>
    <row r="637" spans="1:4" x14ac:dyDescent="0.25">
      <c r="A637">
        <v>600</v>
      </c>
      <c r="B637" s="7"/>
      <c r="C637" s="28"/>
      <c r="D637" s="28"/>
    </row>
    <row r="638" spans="1:4" x14ac:dyDescent="0.25">
      <c r="A638">
        <v>601</v>
      </c>
      <c r="B638" s="7"/>
      <c r="C638" s="28"/>
      <c r="D638" s="28"/>
    </row>
    <row r="639" spans="1:4" x14ac:dyDescent="0.25">
      <c r="A639">
        <v>602</v>
      </c>
      <c r="B639" s="7"/>
      <c r="C639" s="28"/>
      <c r="D639" s="28"/>
    </row>
    <row r="640" spans="1:4" x14ac:dyDescent="0.25">
      <c r="A640">
        <v>603</v>
      </c>
      <c r="B640" s="7"/>
      <c r="C640" s="28"/>
      <c r="D640" s="28"/>
    </row>
    <row r="641" spans="1:4" x14ac:dyDescent="0.25">
      <c r="A641">
        <v>604</v>
      </c>
      <c r="B641" s="7"/>
      <c r="C641" s="28"/>
      <c r="D641" s="28"/>
    </row>
    <row r="642" spans="1:4" x14ac:dyDescent="0.25">
      <c r="A642">
        <v>605</v>
      </c>
      <c r="B642" s="7"/>
      <c r="C642" s="28"/>
      <c r="D642" s="28"/>
    </row>
    <row r="643" spans="1:4" x14ac:dyDescent="0.25">
      <c r="A643">
        <v>606</v>
      </c>
      <c r="B643" s="7"/>
      <c r="C643" s="28"/>
      <c r="D643" s="28"/>
    </row>
    <row r="644" spans="1:4" x14ac:dyDescent="0.25">
      <c r="A644">
        <v>607</v>
      </c>
      <c r="B644" s="7"/>
      <c r="C644" s="28"/>
      <c r="D644" s="28"/>
    </row>
    <row r="645" spans="1:4" x14ac:dyDescent="0.25">
      <c r="A645">
        <v>608</v>
      </c>
      <c r="B645" s="7"/>
      <c r="C645" s="28"/>
      <c r="D645" s="28"/>
    </row>
    <row r="646" spans="1:4" x14ac:dyDescent="0.25">
      <c r="A646">
        <v>609</v>
      </c>
      <c r="B646" s="7"/>
      <c r="C646" s="28"/>
      <c r="D646" s="28"/>
    </row>
    <row r="647" spans="1:4" x14ac:dyDescent="0.25">
      <c r="A647">
        <v>610</v>
      </c>
      <c r="B647" s="7"/>
      <c r="C647" s="28"/>
      <c r="D647" s="28"/>
    </row>
    <row r="648" spans="1:4" x14ac:dyDescent="0.25">
      <c r="A648">
        <v>611</v>
      </c>
      <c r="B648" s="7"/>
      <c r="C648" s="28"/>
      <c r="D648" s="28"/>
    </row>
    <row r="649" spans="1:4" x14ac:dyDescent="0.25">
      <c r="A649">
        <v>612</v>
      </c>
      <c r="B649" s="35"/>
      <c r="C649" s="36"/>
      <c r="D649" s="36"/>
    </row>
    <row r="650" spans="1:4" x14ac:dyDescent="0.25">
      <c r="A650">
        <v>613</v>
      </c>
      <c r="B650" s="7"/>
      <c r="C650" s="28"/>
      <c r="D650" s="28"/>
    </row>
    <row r="651" spans="1:4" x14ac:dyDescent="0.25">
      <c r="A651">
        <v>614</v>
      </c>
      <c r="B651" s="7"/>
      <c r="C651" s="28"/>
      <c r="D651" s="28"/>
    </row>
    <row r="652" spans="1:4" x14ac:dyDescent="0.25">
      <c r="A652">
        <v>615</v>
      </c>
      <c r="B652" s="7"/>
      <c r="C652" s="28"/>
      <c r="D652" s="28"/>
    </row>
    <row r="653" spans="1:4" x14ac:dyDescent="0.25">
      <c r="A653">
        <v>616</v>
      </c>
      <c r="B653" s="7"/>
      <c r="C653" s="28"/>
      <c r="D653" s="28"/>
    </row>
    <row r="654" spans="1:4" x14ac:dyDescent="0.25">
      <c r="A654">
        <v>617</v>
      </c>
      <c r="B654" s="7"/>
      <c r="C654" s="28"/>
      <c r="D654" s="28"/>
    </row>
    <row r="655" spans="1:4" x14ac:dyDescent="0.25">
      <c r="A655">
        <v>618</v>
      </c>
      <c r="B655" s="7"/>
      <c r="C655" s="28"/>
      <c r="D655" s="28"/>
    </row>
    <row r="656" spans="1:4" x14ac:dyDescent="0.25">
      <c r="A656">
        <v>619</v>
      </c>
      <c r="B656" s="7"/>
      <c r="C656" s="28"/>
      <c r="D656" s="28"/>
    </row>
    <row r="657" spans="1:4" x14ac:dyDescent="0.25">
      <c r="A657">
        <v>620</v>
      </c>
      <c r="B657" s="7"/>
      <c r="C657" s="28"/>
      <c r="D657" s="28"/>
    </row>
    <row r="658" spans="1:4" x14ac:dyDescent="0.25">
      <c r="A658">
        <v>621</v>
      </c>
      <c r="B658" s="7"/>
      <c r="C658" s="28"/>
      <c r="D658" s="28"/>
    </row>
    <row r="659" spans="1:4" x14ac:dyDescent="0.25">
      <c r="A659">
        <v>622</v>
      </c>
      <c r="B659" s="7"/>
      <c r="C659" s="28"/>
      <c r="D659" s="28"/>
    </row>
    <row r="660" spans="1:4" x14ac:dyDescent="0.25">
      <c r="A660">
        <v>623</v>
      </c>
      <c r="B660" s="7"/>
      <c r="C660" s="28"/>
      <c r="D660" s="28"/>
    </row>
    <row r="661" spans="1:4" x14ac:dyDescent="0.25">
      <c r="A661">
        <v>624</v>
      </c>
      <c r="B661" s="7"/>
      <c r="C661" s="28"/>
      <c r="D661" s="28"/>
    </row>
    <row r="662" spans="1:4" x14ac:dyDescent="0.25">
      <c r="A662">
        <v>625</v>
      </c>
      <c r="B662" s="7"/>
      <c r="C662" s="28"/>
      <c r="D662" s="28"/>
    </row>
    <row r="663" spans="1:4" x14ac:dyDescent="0.25">
      <c r="A663">
        <v>626</v>
      </c>
      <c r="B663" s="7"/>
      <c r="C663" s="28"/>
      <c r="D663" s="28"/>
    </row>
    <row r="664" spans="1:4" x14ac:dyDescent="0.25">
      <c r="A664">
        <v>627</v>
      </c>
      <c r="B664" s="7"/>
      <c r="C664" s="28"/>
      <c r="D664" s="28"/>
    </row>
    <row r="665" spans="1:4" x14ac:dyDescent="0.25">
      <c r="A665">
        <v>628</v>
      </c>
      <c r="B665" s="7"/>
      <c r="C665" s="28"/>
      <c r="D665" s="28"/>
    </row>
    <row r="666" spans="1:4" x14ac:dyDescent="0.25">
      <c r="A666">
        <v>629</v>
      </c>
      <c r="B666" s="7"/>
      <c r="C666" s="28"/>
      <c r="D666" s="28"/>
    </row>
    <row r="667" spans="1:4" x14ac:dyDescent="0.25">
      <c r="A667">
        <v>630</v>
      </c>
      <c r="B667" s="7"/>
      <c r="C667" s="28"/>
      <c r="D667" s="28"/>
    </row>
    <row r="668" spans="1:4" x14ac:dyDescent="0.25">
      <c r="A668">
        <v>631</v>
      </c>
      <c r="B668" s="7"/>
      <c r="C668" s="28"/>
      <c r="D668" s="28"/>
    </row>
    <row r="669" spans="1:4" x14ac:dyDescent="0.25">
      <c r="A669">
        <v>632</v>
      </c>
      <c r="B669" s="7"/>
      <c r="C669" s="28"/>
      <c r="D669" s="28"/>
    </row>
    <row r="670" spans="1:4" x14ac:dyDescent="0.25">
      <c r="A670">
        <v>633</v>
      </c>
      <c r="B670" s="7"/>
      <c r="C670" s="28"/>
      <c r="D670" s="28"/>
    </row>
    <row r="671" spans="1:4" x14ac:dyDescent="0.25">
      <c r="A671">
        <v>634</v>
      </c>
      <c r="B671" s="7"/>
      <c r="C671" s="28"/>
      <c r="D671" s="28"/>
    </row>
    <row r="672" spans="1:4" x14ac:dyDescent="0.25">
      <c r="A672">
        <v>635</v>
      </c>
      <c r="B672" s="7"/>
      <c r="C672" s="28"/>
      <c r="D672" s="28"/>
    </row>
    <row r="673" spans="1:4" x14ac:dyDescent="0.25">
      <c r="A673">
        <v>636</v>
      </c>
      <c r="B673" s="7"/>
      <c r="C673" s="28"/>
      <c r="D673" s="28"/>
    </row>
    <row r="674" spans="1:4" x14ac:dyDescent="0.25">
      <c r="A674">
        <v>637</v>
      </c>
      <c r="B674" s="7"/>
      <c r="C674" s="28"/>
      <c r="D674" s="28"/>
    </row>
    <row r="675" spans="1:4" x14ac:dyDescent="0.25">
      <c r="A675">
        <v>638</v>
      </c>
      <c r="B675" s="7"/>
      <c r="C675" s="28"/>
      <c r="D675" s="28"/>
    </row>
    <row r="676" spans="1:4" x14ac:dyDescent="0.25">
      <c r="A676">
        <v>639</v>
      </c>
      <c r="B676" s="7"/>
      <c r="C676" s="28"/>
      <c r="D676" s="28"/>
    </row>
    <row r="677" spans="1:4" x14ac:dyDescent="0.25">
      <c r="A677">
        <v>640</v>
      </c>
      <c r="B677" s="7"/>
      <c r="C677" s="28"/>
      <c r="D677" s="28"/>
    </row>
    <row r="678" spans="1:4" x14ac:dyDescent="0.25">
      <c r="A678">
        <v>641</v>
      </c>
      <c r="B678" s="7"/>
      <c r="C678" s="28"/>
      <c r="D678" s="28"/>
    </row>
    <row r="679" spans="1:4" x14ac:dyDescent="0.25">
      <c r="A679">
        <v>642</v>
      </c>
      <c r="B679" s="7"/>
      <c r="C679" s="28"/>
      <c r="D679" s="28"/>
    </row>
    <row r="680" spans="1:4" x14ac:dyDescent="0.25">
      <c r="A680">
        <v>643</v>
      </c>
      <c r="B680" s="7"/>
      <c r="C680" s="28"/>
      <c r="D680" s="28"/>
    </row>
    <row r="681" spans="1:4" x14ac:dyDescent="0.25">
      <c r="A681">
        <v>644</v>
      </c>
      <c r="B681" s="7"/>
      <c r="C681" s="28"/>
      <c r="D681" s="28"/>
    </row>
    <row r="682" spans="1:4" x14ac:dyDescent="0.25">
      <c r="A682">
        <v>645</v>
      </c>
      <c r="B682" s="7"/>
      <c r="C682" s="28"/>
      <c r="D682" s="28"/>
    </row>
    <row r="683" spans="1:4" x14ac:dyDescent="0.25">
      <c r="A683">
        <v>646</v>
      </c>
      <c r="B683" s="7"/>
      <c r="C683" s="28"/>
      <c r="D683" s="28"/>
    </row>
    <row r="684" spans="1:4" x14ac:dyDescent="0.25">
      <c r="A684">
        <v>647</v>
      </c>
      <c r="B684" s="7"/>
      <c r="C684" s="28"/>
      <c r="D684" s="28"/>
    </row>
    <row r="685" spans="1:4" x14ac:dyDescent="0.25">
      <c r="A685">
        <v>648</v>
      </c>
      <c r="B685" s="7"/>
      <c r="C685" s="28"/>
      <c r="D685" s="28"/>
    </row>
    <row r="686" spans="1:4" x14ac:dyDescent="0.25">
      <c r="A686">
        <v>649</v>
      </c>
      <c r="B686" s="7"/>
      <c r="C686" s="28"/>
      <c r="D686" s="28"/>
    </row>
    <row r="687" spans="1:4" x14ac:dyDescent="0.25">
      <c r="A687">
        <v>650</v>
      </c>
      <c r="B687" s="7"/>
      <c r="C687" s="28"/>
      <c r="D687" s="28"/>
    </row>
    <row r="688" spans="1:4" x14ac:dyDescent="0.25">
      <c r="A688">
        <v>651</v>
      </c>
      <c r="B688" s="7"/>
      <c r="C688" s="28"/>
      <c r="D688" s="28"/>
    </row>
    <row r="689" spans="1:4" x14ac:dyDescent="0.25">
      <c r="A689">
        <v>652</v>
      </c>
      <c r="B689" s="7"/>
      <c r="C689" s="28"/>
      <c r="D689" s="28"/>
    </row>
    <row r="690" spans="1:4" x14ac:dyDescent="0.25">
      <c r="A690">
        <v>653</v>
      </c>
      <c r="B690" s="7"/>
      <c r="C690" s="28"/>
      <c r="D690" s="28"/>
    </row>
    <row r="691" spans="1:4" x14ac:dyDescent="0.25">
      <c r="A691">
        <v>654</v>
      </c>
      <c r="B691" s="7"/>
      <c r="C691" s="28"/>
      <c r="D691" s="28"/>
    </row>
    <row r="692" spans="1:4" ht="13" x14ac:dyDescent="0.3">
      <c r="A692">
        <v>655</v>
      </c>
      <c r="B692" s="7"/>
      <c r="C692" s="29"/>
      <c r="D692" s="28"/>
    </row>
    <row r="693" spans="1:4" x14ac:dyDescent="0.25">
      <c r="A693">
        <v>656</v>
      </c>
      <c r="B693" s="7"/>
      <c r="C693" s="28"/>
      <c r="D693" s="28"/>
    </row>
    <row r="694" spans="1:4" ht="13" x14ac:dyDescent="0.3">
      <c r="A694">
        <v>657</v>
      </c>
      <c r="B694" s="7"/>
      <c r="C694" s="29"/>
      <c r="D694" s="28"/>
    </row>
    <row r="695" spans="1:4" x14ac:dyDescent="0.25">
      <c r="A695">
        <v>658</v>
      </c>
      <c r="B695" s="7"/>
      <c r="C695" s="28"/>
      <c r="D695" s="28"/>
    </row>
    <row r="696" spans="1:4" x14ac:dyDescent="0.25">
      <c r="A696">
        <v>659</v>
      </c>
      <c r="B696" s="7"/>
      <c r="C696" s="28"/>
      <c r="D696" s="28"/>
    </row>
    <row r="697" spans="1:4" x14ac:dyDescent="0.25">
      <c r="A697">
        <v>660</v>
      </c>
      <c r="B697" s="7"/>
      <c r="C697" s="28"/>
      <c r="D697" s="28"/>
    </row>
    <row r="698" spans="1:4" x14ac:dyDescent="0.25">
      <c r="A698">
        <v>661</v>
      </c>
      <c r="B698" s="7"/>
      <c r="C698" s="28"/>
      <c r="D698" s="28"/>
    </row>
    <row r="699" spans="1:4" x14ac:dyDescent="0.25">
      <c r="A699">
        <v>662</v>
      </c>
      <c r="B699" s="7"/>
      <c r="C699" s="28"/>
      <c r="D699" s="28"/>
    </row>
    <row r="700" spans="1:4" x14ac:dyDescent="0.25">
      <c r="A700">
        <v>663</v>
      </c>
      <c r="B700" s="7"/>
      <c r="C700" s="28"/>
      <c r="D700" s="28"/>
    </row>
    <row r="701" spans="1:4" x14ac:dyDescent="0.25">
      <c r="A701">
        <v>664</v>
      </c>
      <c r="B701" s="7"/>
      <c r="C701" s="28"/>
      <c r="D701" s="28"/>
    </row>
    <row r="702" spans="1:4" x14ac:dyDescent="0.25">
      <c r="A702">
        <v>665</v>
      </c>
      <c r="B702" s="7"/>
      <c r="C702" s="28"/>
      <c r="D702" s="28"/>
    </row>
    <row r="703" spans="1:4" x14ac:dyDescent="0.25">
      <c r="A703">
        <v>666</v>
      </c>
      <c r="B703" s="7"/>
      <c r="C703" s="28"/>
      <c r="D703" s="28"/>
    </row>
    <row r="704" spans="1:4" x14ac:dyDescent="0.25">
      <c r="A704">
        <v>667</v>
      </c>
      <c r="B704" s="7"/>
      <c r="C704" s="28"/>
      <c r="D704" s="28"/>
    </row>
    <row r="705" spans="1:4" x14ac:dyDescent="0.25">
      <c r="A705">
        <v>668</v>
      </c>
      <c r="B705" s="7"/>
      <c r="C705" s="28"/>
      <c r="D705" s="28"/>
    </row>
    <row r="706" spans="1:4" x14ac:dyDescent="0.25">
      <c r="A706">
        <v>669</v>
      </c>
      <c r="B706" s="7"/>
      <c r="C706" s="28"/>
      <c r="D706" s="28"/>
    </row>
    <row r="707" spans="1:4" x14ac:dyDescent="0.25">
      <c r="A707">
        <v>670</v>
      </c>
      <c r="B707" s="7"/>
      <c r="C707" s="28"/>
      <c r="D707" s="28"/>
    </row>
    <row r="708" spans="1:4" x14ac:dyDescent="0.25">
      <c r="A708">
        <v>671</v>
      </c>
      <c r="B708" s="7"/>
      <c r="C708" s="28"/>
      <c r="D708" s="28"/>
    </row>
    <row r="709" spans="1:4" x14ac:dyDescent="0.25">
      <c r="A709">
        <v>672</v>
      </c>
      <c r="B709" s="7"/>
      <c r="C709" s="28"/>
      <c r="D709" s="28"/>
    </row>
    <row r="710" spans="1:4" x14ac:dyDescent="0.25">
      <c r="A710">
        <v>673</v>
      </c>
      <c r="B710" s="7"/>
      <c r="C710" s="28"/>
      <c r="D710" s="28"/>
    </row>
    <row r="711" spans="1:4" x14ac:dyDescent="0.25">
      <c r="A711">
        <v>674</v>
      </c>
      <c r="B711" s="7"/>
      <c r="C711" s="28"/>
      <c r="D711" s="28"/>
    </row>
    <row r="712" spans="1:4" x14ac:dyDescent="0.25">
      <c r="A712">
        <v>675</v>
      </c>
      <c r="B712" s="7"/>
      <c r="C712" s="28"/>
      <c r="D712" s="28"/>
    </row>
    <row r="713" spans="1:4" x14ac:dyDescent="0.25">
      <c r="A713">
        <v>676</v>
      </c>
      <c r="B713" s="7"/>
      <c r="C713" s="28"/>
      <c r="D713" s="28"/>
    </row>
    <row r="714" spans="1:4" x14ac:dyDescent="0.25">
      <c r="A714">
        <v>677</v>
      </c>
      <c r="B714" s="7"/>
      <c r="C714" s="28"/>
      <c r="D714" s="28"/>
    </row>
    <row r="715" spans="1:4" x14ac:dyDescent="0.25">
      <c r="A715">
        <v>678</v>
      </c>
      <c r="B715" s="7"/>
      <c r="C715" s="28"/>
      <c r="D715" s="28"/>
    </row>
    <row r="716" spans="1:4" x14ac:dyDescent="0.25">
      <c r="A716">
        <v>679</v>
      </c>
      <c r="B716" s="7"/>
      <c r="C716" s="28"/>
      <c r="D716" s="28"/>
    </row>
    <row r="717" spans="1:4" x14ac:dyDescent="0.25">
      <c r="A717">
        <v>680</v>
      </c>
      <c r="B717" s="7"/>
      <c r="C717" s="28"/>
      <c r="D717" s="28"/>
    </row>
    <row r="718" spans="1:4" x14ac:dyDescent="0.25">
      <c r="A718">
        <v>681</v>
      </c>
      <c r="B718" s="7"/>
      <c r="C718" s="28"/>
      <c r="D718" s="28"/>
    </row>
    <row r="719" spans="1:4" x14ac:dyDescent="0.25">
      <c r="A719">
        <v>682</v>
      </c>
      <c r="B719" s="7"/>
      <c r="C719" s="28"/>
      <c r="D719" s="28"/>
    </row>
    <row r="720" spans="1:4" x14ac:dyDescent="0.25">
      <c r="A720">
        <v>683</v>
      </c>
      <c r="B720" s="7"/>
      <c r="C720" s="28"/>
      <c r="D720" s="28"/>
    </row>
    <row r="721" spans="1:4" x14ac:dyDescent="0.25">
      <c r="A721">
        <v>684</v>
      </c>
      <c r="B721" s="7"/>
      <c r="C721" s="28"/>
      <c r="D721" s="28"/>
    </row>
    <row r="722" spans="1:4" x14ac:dyDescent="0.25">
      <c r="A722">
        <v>685</v>
      </c>
      <c r="B722" s="7"/>
      <c r="C722" s="28"/>
      <c r="D722" s="28"/>
    </row>
    <row r="723" spans="1:4" x14ac:dyDescent="0.25">
      <c r="A723">
        <v>686</v>
      </c>
      <c r="B723" s="7"/>
      <c r="C723" s="28"/>
      <c r="D723" s="28"/>
    </row>
    <row r="724" spans="1:4" x14ac:dyDescent="0.25">
      <c r="A724">
        <v>687</v>
      </c>
      <c r="B724" s="7"/>
      <c r="C724" s="28"/>
      <c r="D724" s="28"/>
    </row>
    <row r="725" spans="1:4" x14ac:dyDescent="0.25">
      <c r="A725">
        <v>688</v>
      </c>
      <c r="B725" s="7"/>
      <c r="C725" s="28"/>
      <c r="D725" s="28"/>
    </row>
    <row r="726" spans="1:4" x14ac:dyDescent="0.25">
      <c r="A726">
        <v>689</v>
      </c>
      <c r="B726" s="7"/>
      <c r="C726" s="28"/>
      <c r="D726" s="28"/>
    </row>
    <row r="727" spans="1:4" x14ac:dyDescent="0.25">
      <c r="A727">
        <v>690</v>
      </c>
      <c r="B727" s="7"/>
      <c r="C727" s="28"/>
      <c r="D727" s="28"/>
    </row>
    <row r="728" spans="1:4" x14ac:dyDescent="0.25">
      <c r="A728">
        <v>691</v>
      </c>
      <c r="B728" s="7"/>
      <c r="C728" s="28"/>
      <c r="D728" s="28"/>
    </row>
    <row r="729" spans="1:4" x14ac:dyDescent="0.25">
      <c r="A729">
        <v>692</v>
      </c>
      <c r="B729" s="7"/>
      <c r="C729" s="28"/>
      <c r="D729" s="28"/>
    </row>
    <row r="730" spans="1:4" x14ac:dyDescent="0.25">
      <c r="A730">
        <v>693</v>
      </c>
      <c r="B730" s="7"/>
      <c r="C730" s="28"/>
      <c r="D730" s="28"/>
    </row>
    <row r="731" spans="1:4" x14ac:dyDescent="0.25">
      <c r="A731">
        <v>694</v>
      </c>
      <c r="B731" s="7"/>
      <c r="C731" s="28"/>
      <c r="D731" s="28"/>
    </row>
    <row r="732" spans="1:4" x14ac:dyDescent="0.25">
      <c r="A732">
        <v>695</v>
      </c>
      <c r="B732" s="7"/>
      <c r="C732" s="28"/>
      <c r="D732" s="28"/>
    </row>
    <row r="733" spans="1:4" x14ac:dyDescent="0.25">
      <c r="A733">
        <v>696</v>
      </c>
      <c r="B733" s="7"/>
      <c r="C733" s="28"/>
      <c r="D733" s="28"/>
    </row>
    <row r="734" spans="1:4" x14ac:dyDescent="0.25">
      <c r="A734">
        <v>697</v>
      </c>
      <c r="B734" s="7"/>
      <c r="C734" s="28"/>
      <c r="D734" s="28"/>
    </row>
    <row r="735" spans="1:4" x14ac:dyDescent="0.25">
      <c r="A735">
        <v>698</v>
      </c>
      <c r="B735" s="7"/>
      <c r="C735" s="28"/>
      <c r="D735" s="28"/>
    </row>
    <row r="736" spans="1:4" x14ac:dyDescent="0.25">
      <c r="A736">
        <v>699</v>
      </c>
      <c r="B736" s="7"/>
      <c r="C736" s="28"/>
      <c r="D736" s="28"/>
    </row>
    <row r="737" spans="1:4" x14ac:dyDescent="0.25">
      <c r="A737">
        <v>700</v>
      </c>
      <c r="B737" s="7"/>
      <c r="C737" s="28"/>
      <c r="D737" s="28"/>
    </row>
    <row r="738" spans="1:4" x14ac:dyDescent="0.25">
      <c r="A738">
        <v>701</v>
      </c>
      <c r="B738" s="7"/>
      <c r="C738" s="28"/>
      <c r="D738" s="28"/>
    </row>
    <row r="739" spans="1:4" x14ac:dyDescent="0.25">
      <c r="A739">
        <v>702</v>
      </c>
      <c r="B739" s="35"/>
      <c r="C739" s="36"/>
      <c r="D739" s="36"/>
    </row>
    <row r="740" spans="1:4" x14ac:dyDescent="0.25">
      <c r="A740">
        <v>703</v>
      </c>
      <c r="B740" s="7"/>
      <c r="C740" s="28"/>
      <c r="D740" s="28"/>
    </row>
    <row r="741" spans="1:4" x14ac:dyDescent="0.25">
      <c r="A741">
        <v>704</v>
      </c>
      <c r="B741" s="7"/>
      <c r="C741" s="28"/>
      <c r="D741" s="28"/>
    </row>
    <row r="742" spans="1:4" x14ac:dyDescent="0.25">
      <c r="A742">
        <v>705</v>
      </c>
      <c r="B742" s="7"/>
      <c r="C742" s="28"/>
      <c r="D742" s="28"/>
    </row>
    <row r="743" spans="1:4" x14ac:dyDescent="0.25">
      <c r="A743">
        <v>706</v>
      </c>
      <c r="B743" s="7"/>
      <c r="C743" s="28"/>
      <c r="D743" s="28"/>
    </row>
    <row r="744" spans="1:4" x14ac:dyDescent="0.25">
      <c r="A744">
        <v>707</v>
      </c>
      <c r="B744" s="7"/>
      <c r="C744" s="28"/>
      <c r="D744" s="28"/>
    </row>
    <row r="745" spans="1:4" x14ac:dyDescent="0.25">
      <c r="A745">
        <v>708</v>
      </c>
      <c r="B745" s="7"/>
      <c r="C745" s="28"/>
      <c r="D745" s="28"/>
    </row>
    <row r="746" spans="1:4" x14ac:dyDescent="0.25">
      <c r="A746">
        <v>709</v>
      </c>
      <c r="B746" s="7"/>
      <c r="C746" s="28"/>
      <c r="D746" s="28"/>
    </row>
    <row r="747" spans="1:4" x14ac:dyDescent="0.25">
      <c r="A747">
        <v>710</v>
      </c>
      <c r="B747" s="7"/>
      <c r="C747" s="28"/>
      <c r="D747" s="28"/>
    </row>
    <row r="748" spans="1:4" x14ac:dyDescent="0.25">
      <c r="A748">
        <v>711</v>
      </c>
      <c r="B748" s="7"/>
      <c r="C748" s="28"/>
      <c r="D748" s="28"/>
    </row>
    <row r="749" spans="1:4" x14ac:dyDescent="0.25">
      <c r="A749">
        <v>712</v>
      </c>
      <c r="B749" s="7"/>
      <c r="C749" s="28"/>
      <c r="D749" s="28"/>
    </row>
    <row r="750" spans="1:4" x14ac:dyDescent="0.25">
      <c r="A750">
        <v>713</v>
      </c>
      <c r="B750" s="7"/>
      <c r="C750" s="28"/>
      <c r="D750" s="28"/>
    </row>
    <row r="751" spans="1:4" x14ac:dyDescent="0.25">
      <c r="A751">
        <v>714</v>
      </c>
      <c r="B751" s="7"/>
      <c r="C751" s="28"/>
      <c r="D751" s="28"/>
    </row>
    <row r="752" spans="1:4" x14ac:dyDescent="0.25">
      <c r="A752">
        <v>715</v>
      </c>
      <c r="B752" s="7"/>
      <c r="C752" s="28"/>
      <c r="D752" s="28"/>
    </row>
    <row r="753" spans="1:4" x14ac:dyDescent="0.25">
      <c r="A753">
        <v>716</v>
      </c>
      <c r="B753" s="7"/>
      <c r="C753" s="28"/>
      <c r="D753" s="28"/>
    </row>
    <row r="754" spans="1:4" x14ac:dyDescent="0.25">
      <c r="A754">
        <v>717</v>
      </c>
      <c r="B754" s="7"/>
      <c r="C754" s="28"/>
      <c r="D754" s="28"/>
    </row>
    <row r="755" spans="1:4" x14ac:dyDescent="0.25">
      <c r="A755">
        <v>718</v>
      </c>
      <c r="B755" s="7"/>
      <c r="C755" s="28"/>
      <c r="D755" s="28"/>
    </row>
    <row r="756" spans="1:4" x14ac:dyDescent="0.25">
      <c r="A756">
        <v>719</v>
      </c>
      <c r="B756" s="7"/>
      <c r="C756" s="28"/>
      <c r="D756" s="28"/>
    </row>
    <row r="757" spans="1:4" x14ac:dyDescent="0.25">
      <c r="A757">
        <v>720</v>
      </c>
      <c r="B757" s="7"/>
      <c r="C757" s="28"/>
      <c r="D757" s="28"/>
    </row>
    <row r="758" spans="1:4" x14ac:dyDescent="0.25">
      <c r="A758">
        <v>721</v>
      </c>
      <c r="B758" s="7"/>
      <c r="C758" s="28"/>
      <c r="D758" s="28"/>
    </row>
    <row r="759" spans="1:4" x14ac:dyDescent="0.25">
      <c r="A759">
        <v>722</v>
      </c>
      <c r="B759" s="7"/>
      <c r="C759" s="28"/>
      <c r="D759" s="28"/>
    </row>
    <row r="760" spans="1:4" x14ac:dyDescent="0.25">
      <c r="A760">
        <v>723</v>
      </c>
      <c r="B760" s="7"/>
      <c r="C760" s="28"/>
      <c r="D760" s="28"/>
    </row>
    <row r="761" spans="1:4" x14ac:dyDescent="0.25">
      <c r="A761">
        <v>724</v>
      </c>
      <c r="B761" s="7"/>
      <c r="C761" s="28"/>
      <c r="D761" s="28"/>
    </row>
    <row r="762" spans="1:4" x14ac:dyDescent="0.25">
      <c r="A762">
        <v>725</v>
      </c>
      <c r="B762" s="7"/>
      <c r="C762" s="28"/>
      <c r="D762" s="28"/>
    </row>
    <row r="763" spans="1:4" x14ac:dyDescent="0.25">
      <c r="A763">
        <v>726</v>
      </c>
      <c r="B763" s="7"/>
      <c r="C763" s="28"/>
      <c r="D763" s="28"/>
    </row>
    <row r="764" spans="1:4" x14ac:dyDescent="0.25">
      <c r="A764">
        <v>727</v>
      </c>
      <c r="B764" s="7"/>
      <c r="C764" s="28"/>
      <c r="D764" s="28"/>
    </row>
    <row r="765" spans="1:4" x14ac:dyDescent="0.25">
      <c r="A765">
        <v>728</v>
      </c>
      <c r="B765" s="7"/>
      <c r="C765" s="28"/>
      <c r="D765" s="28"/>
    </row>
    <row r="766" spans="1:4" x14ac:dyDescent="0.25">
      <c r="A766">
        <v>729</v>
      </c>
      <c r="B766" s="7"/>
      <c r="C766" s="28"/>
      <c r="D766" s="28"/>
    </row>
    <row r="767" spans="1:4" x14ac:dyDescent="0.25">
      <c r="A767">
        <v>730</v>
      </c>
      <c r="B767" s="35"/>
      <c r="C767" s="36"/>
      <c r="D767" s="36"/>
    </row>
    <row r="768" spans="1:4" x14ac:dyDescent="0.25">
      <c r="A768">
        <v>731</v>
      </c>
      <c r="B768" s="7"/>
      <c r="C768" s="28"/>
      <c r="D768" s="28"/>
    </row>
    <row r="769" spans="1:4" x14ac:dyDescent="0.25">
      <c r="A769">
        <v>732</v>
      </c>
      <c r="B769" s="7"/>
      <c r="C769" s="28"/>
      <c r="D769" s="28"/>
    </row>
    <row r="770" spans="1:4" x14ac:dyDescent="0.25">
      <c r="A770">
        <v>733</v>
      </c>
      <c r="B770" s="7"/>
      <c r="C770" s="28"/>
      <c r="D770" s="28"/>
    </row>
    <row r="771" spans="1:4" x14ac:dyDescent="0.25">
      <c r="A771">
        <v>734</v>
      </c>
      <c r="B771" s="7"/>
      <c r="C771" s="28"/>
      <c r="D771" s="28"/>
    </row>
    <row r="772" spans="1:4" x14ac:dyDescent="0.25">
      <c r="A772">
        <v>735</v>
      </c>
      <c r="B772" s="7"/>
      <c r="C772" s="28"/>
      <c r="D772" s="28"/>
    </row>
    <row r="773" spans="1:4" x14ac:dyDescent="0.25">
      <c r="A773">
        <v>736</v>
      </c>
      <c r="B773" s="7"/>
      <c r="C773" s="28"/>
      <c r="D773" s="28"/>
    </row>
    <row r="774" spans="1:4" x14ac:dyDescent="0.25">
      <c r="A774">
        <v>737</v>
      </c>
      <c r="B774" s="7"/>
      <c r="C774" s="28"/>
      <c r="D774" s="28"/>
    </row>
    <row r="775" spans="1:4" x14ac:dyDescent="0.25">
      <c r="A775">
        <v>738</v>
      </c>
      <c r="B775" s="7"/>
      <c r="C775" s="28"/>
      <c r="D775" s="28"/>
    </row>
    <row r="776" spans="1:4" x14ac:dyDescent="0.25">
      <c r="A776">
        <v>739</v>
      </c>
      <c r="B776" s="7"/>
      <c r="C776" s="28"/>
      <c r="D776" s="28"/>
    </row>
    <row r="777" spans="1:4" x14ac:dyDescent="0.25">
      <c r="A777">
        <v>740</v>
      </c>
      <c r="B777" s="35"/>
      <c r="C777" s="36"/>
      <c r="D777" s="36"/>
    </row>
    <row r="778" spans="1:4" x14ac:dyDescent="0.25">
      <c r="A778">
        <v>741</v>
      </c>
      <c r="B778" s="7"/>
      <c r="C778" s="28"/>
      <c r="D778" s="28"/>
    </row>
    <row r="779" spans="1:4" x14ac:dyDescent="0.25">
      <c r="A779">
        <v>742</v>
      </c>
      <c r="B779" s="7"/>
      <c r="C779" s="28"/>
      <c r="D779" s="28"/>
    </row>
    <row r="780" spans="1:4" x14ac:dyDescent="0.25">
      <c r="A780">
        <v>743</v>
      </c>
      <c r="B780" s="7"/>
      <c r="C780" s="28"/>
      <c r="D780" s="28"/>
    </row>
    <row r="781" spans="1:4" x14ac:dyDescent="0.25">
      <c r="A781">
        <v>744</v>
      </c>
      <c r="B781" s="7"/>
      <c r="C781" s="28"/>
      <c r="D781" s="28"/>
    </row>
    <row r="782" spans="1:4" x14ac:dyDescent="0.25">
      <c r="A782">
        <v>745</v>
      </c>
      <c r="B782" s="7"/>
      <c r="C782" s="28"/>
      <c r="D782" s="28"/>
    </row>
    <row r="783" spans="1:4" x14ac:dyDescent="0.25">
      <c r="A783">
        <v>746</v>
      </c>
      <c r="B783" s="7"/>
      <c r="C783" s="28"/>
      <c r="D783" s="28"/>
    </row>
    <row r="784" spans="1:4" x14ac:dyDescent="0.25">
      <c r="A784">
        <v>747</v>
      </c>
      <c r="B784" s="7"/>
      <c r="C784" s="28"/>
      <c r="D784" s="28"/>
    </row>
    <row r="785" spans="1:4" x14ac:dyDescent="0.25">
      <c r="A785">
        <v>748</v>
      </c>
      <c r="B785" s="7"/>
      <c r="C785" s="28"/>
      <c r="D785" s="28"/>
    </row>
    <row r="786" spans="1:4" x14ac:dyDescent="0.25">
      <c r="A786">
        <v>749</v>
      </c>
      <c r="B786" s="7"/>
      <c r="C786" s="28"/>
      <c r="D786" s="28"/>
    </row>
    <row r="787" spans="1:4" x14ac:dyDescent="0.25">
      <c r="A787">
        <v>750</v>
      </c>
      <c r="B787" s="7"/>
      <c r="C787" s="28"/>
      <c r="D787" s="28"/>
    </row>
    <row r="788" spans="1:4" x14ac:dyDescent="0.25">
      <c r="A788">
        <v>751</v>
      </c>
      <c r="B788" s="7"/>
      <c r="C788" s="28"/>
      <c r="D788" s="28"/>
    </row>
    <row r="789" spans="1:4" x14ac:dyDescent="0.25">
      <c r="A789">
        <v>752</v>
      </c>
      <c r="B789" s="7"/>
      <c r="C789" s="28"/>
      <c r="D789" s="28"/>
    </row>
    <row r="790" spans="1:4" x14ac:dyDescent="0.25">
      <c r="A790">
        <v>753</v>
      </c>
      <c r="B790" s="7"/>
      <c r="C790" s="28"/>
      <c r="D790" s="28"/>
    </row>
    <row r="791" spans="1:4" x14ac:dyDescent="0.25">
      <c r="A791">
        <v>754</v>
      </c>
      <c r="B791" s="7"/>
      <c r="C791" s="28"/>
      <c r="D791" s="28"/>
    </row>
    <row r="792" spans="1:4" x14ac:dyDescent="0.25">
      <c r="A792">
        <v>755</v>
      </c>
      <c r="B792" s="7"/>
      <c r="C792" s="28"/>
      <c r="D792" s="28"/>
    </row>
    <row r="793" spans="1:4" x14ac:dyDescent="0.25">
      <c r="A793">
        <v>756</v>
      </c>
      <c r="B793" s="7"/>
      <c r="C793" s="28"/>
      <c r="D793" s="28"/>
    </row>
    <row r="794" spans="1:4" x14ac:dyDescent="0.25">
      <c r="A794">
        <v>757</v>
      </c>
      <c r="B794" s="7"/>
      <c r="C794" s="28"/>
      <c r="D794" s="28"/>
    </row>
    <row r="795" spans="1:4" x14ac:dyDescent="0.25">
      <c r="A795">
        <v>758</v>
      </c>
      <c r="B795" s="7"/>
      <c r="C795" s="28"/>
      <c r="D795" s="28"/>
    </row>
    <row r="796" spans="1:4" x14ac:dyDescent="0.25">
      <c r="A796">
        <v>759</v>
      </c>
      <c r="B796" s="7"/>
      <c r="C796" s="28"/>
      <c r="D796" s="28"/>
    </row>
    <row r="797" spans="1:4" x14ac:dyDescent="0.25">
      <c r="A797">
        <v>760</v>
      </c>
      <c r="B797" s="7"/>
      <c r="C797" s="28"/>
      <c r="D797" s="28"/>
    </row>
    <row r="798" spans="1:4" x14ac:dyDescent="0.25">
      <c r="A798">
        <v>761</v>
      </c>
      <c r="B798" s="7"/>
      <c r="C798" s="28"/>
      <c r="D798" s="28"/>
    </row>
    <row r="799" spans="1:4" ht="13" x14ac:dyDescent="0.3">
      <c r="A799">
        <v>762</v>
      </c>
      <c r="B799" s="7"/>
      <c r="C799" s="29"/>
      <c r="D799" s="28"/>
    </row>
    <row r="800" spans="1:4" x14ac:dyDescent="0.25">
      <c r="A800">
        <v>763</v>
      </c>
      <c r="B800" s="7"/>
      <c r="C800" s="28"/>
      <c r="D800" s="28"/>
    </row>
    <row r="801" spans="1:4" x14ac:dyDescent="0.25">
      <c r="A801">
        <v>764</v>
      </c>
      <c r="B801" s="7"/>
      <c r="C801" s="28"/>
      <c r="D801" s="28"/>
    </row>
    <row r="802" spans="1:4" x14ac:dyDescent="0.25">
      <c r="A802">
        <v>765</v>
      </c>
      <c r="B802" s="7"/>
      <c r="C802" s="28"/>
      <c r="D802" s="28"/>
    </row>
    <row r="803" spans="1:4" x14ac:dyDescent="0.25">
      <c r="A803">
        <v>766</v>
      </c>
      <c r="B803" s="7"/>
      <c r="C803" s="28"/>
      <c r="D803" s="28"/>
    </row>
    <row r="804" spans="1:4" x14ac:dyDescent="0.25">
      <c r="A804">
        <v>767</v>
      </c>
      <c r="B804" s="7"/>
      <c r="C804" s="28"/>
      <c r="D804" s="28"/>
    </row>
    <row r="805" spans="1:4" x14ac:dyDescent="0.25">
      <c r="A805">
        <v>768</v>
      </c>
      <c r="B805" s="7"/>
      <c r="C805" s="28"/>
      <c r="D805" s="28"/>
    </row>
    <row r="806" spans="1:4" x14ac:dyDescent="0.25">
      <c r="A806">
        <v>769</v>
      </c>
      <c r="B806" s="7"/>
      <c r="C806" s="28"/>
      <c r="D806" s="28"/>
    </row>
    <row r="807" spans="1:4" x14ac:dyDescent="0.25">
      <c r="A807">
        <v>770</v>
      </c>
      <c r="B807" s="7"/>
      <c r="C807" s="28"/>
      <c r="D807" s="28"/>
    </row>
    <row r="808" spans="1:4" x14ac:dyDescent="0.25">
      <c r="A808">
        <v>771</v>
      </c>
      <c r="B808" s="7"/>
      <c r="C808" s="28"/>
      <c r="D808" s="28"/>
    </row>
    <row r="809" spans="1:4" x14ac:dyDescent="0.25">
      <c r="A809">
        <v>772</v>
      </c>
      <c r="B809" s="7"/>
      <c r="C809" s="28"/>
      <c r="D809" s="28"/>
    </row>
    <row r="810" spans="1:4" x14ac:dyDescent="0.25">
      <c r="A810">
        <v>773</v>
      </c>
      <c r="B810" s="7"/>
      <c r="C810" s="28"/>
      <c r="D810" s="28"/>
    </row>
    <row r="811" spans="1:4" x14ac:dyDescent="0.25">
      <c r="A811">
        <v>774</v>
      </c>
      <c r="B811" s="7"/>
      <c r="C811" s="28"/>
      <c r="D811" s="28"/>
    </row>
    <row r="812" spans="1:4" ht="13" x14ac:dyDescent="0.3">
      <c r="A812">
        <v>775</v>
      </c>
      <c r="B812" s="7"/>
      <c r="C812" s="29"/>
      <c r="D812" s="28"/>
    </row>
    <row r="813" spans="1:4" x14ac:dyDescent="0.25">
      <c r="A813">
        <v>776</v>
      </c>
      <c r="B813" s="7"/>
      <c r="C813" s="28"/>
      <c r="D813" s="28"/>
    </row>
    <row r="814" spans="1:4" x14ac:dyDescent="0.25">
      <c r="A814">
        <v>777</v>
      </c>
      <c r="B814" s="7"/>
      <c r="C814" s="28"/>
      <c r="D814" s="28"/>
    </row>
    <row r="815" spans="1:4" x14ac:dyDescent="0.25">
      <c r="A815">
        <v>778</v>
      </c>
      <c r="B815" s="7"/>
      <c r="C815" s="28"/>
      <c r="D815" s="28"/>
    </row>
    <row r="816" spans="1:4" x14ac:dyDescent="0.25">
      <c r="A816">
        <v>779</v>
      </c>
      <c r="B816" s="7"/>
      <c r="C816" s="28"/>
      <c r="D816" s="28"/>
    </row>
    <row r="817" spans="1:4" x14ac:dyDescent="0.25">
      <c r="A817">
        <v>780</v>
      </c>
      <c r="B817" s="7"/>
      <c r="C817" s="28"/>
      <c r="D817" s="28"/>
    </row>
    <row r="818" spans="1:4" x14ac:dyDescent="0.25">
      <c r="A818">
        <v>781</v>
      </c>
      <c r="B818" s="35"/>
      <c r="C818" s="36"/>
      <c r="D818" s="36"/>
    </row>
    <row r="819" spans="1:4" x14ac:dyDescent="0.25">
      <c r="A819">
        <v>782</v>
      </c>
      <c r="B819" s="7"/>
      <c r="C819" s="28"/>
      <c r="D819" s="28"/>
    </row>
    <row r="820" spans="1:4" x14ac:dyDescent="0.25">
      <c r="A820">
        <v>783</v>
      </c>
      <c r="B820" s="7"/>
      <c r="C820" s="28"/>
      <c r="D820" s="28"/>
    </row>
    <row r="821" spans="1:4" x14ac:dyDescent="0.25">
      <c r="A821">
        <v>784</v>
      </c>
      <c r="B821" s="7"/>
      <c r="C821" s="28"/>
      <c r="D821" s="28"/>
    </row>
    <row r="822" spans="1:4" x14ac:dyDescent="0.25">
      <c r="A822">
        <v>785</v>
      </c>
      <c r="B822" s="7"/>
      <c r="C822" s="28"/>
      <c r="D822" s="28"/>
    </row>
    <row r="823" spans="1:4" x14ac:dyDescent="0.25">
      <c r="A823">
        <v>786</v>
      </c>
      <c r="B823" s="7"/>
      <c r="C823" s="28"/>
      <c r="D823" s="28"/>
    </row>
    <row r="824" spans="1:4" x14ac:dyDescent="0.25">
      <c r="A824">
        <v>787</v>
      </c>
      <c r="B824" s="7"/>
      <c r="C824" s="28"/>
      <c r="D824" s="28"/>
    </row>
    <row r="825" spans="1:4" x14ac:dyDescent="0.25">
      <c r="A825">
        <v>788</v>
      </c>
      <c r="B825" s="7"/>
      <c r="C825" s="28"/>
      <c r="D825" s="28"/>
    </row>
    <row r="826" spans="1:4" x14ac:dyDescent="0.25">
      <c r="A826">
        <v>789</v>
      </c>
      <c r="B826" s="7"/>
      <c r="C826" s="28"/>
      <c r="D826" s="28"/>
    </row>
    <row r="827" spans="1:4" x14ac:dyDescent="0.25">
      <c r="A827">
        <v>790</v>
      </c>
      <c r="B827" s="7"/>
      <c r="C827" s="28"/>
      <c r="D827" s="28"/>
    </row>
    <row r="828" spans="1:4" x14ac:dyDescent="0.25">
      <c r="A828">
        <v>791</v>
      </c>
      <c r="B828" s="7"/>
      <c r="C828" s="28"/>
      <c r="D828" s="28"/>
    </row>
    <row r="829" spans="1:4" x14ac:dyDescent="0.25">
      <c r="A829">
        <v>792</v>
      </c>
      <c r="B829" s="7"/>
      <c r="C829" s="28"/>
      <c r="D829" s="28"/>
    </row>
    <row r="830" spans="1:4" x14ac:dyDescent="0.25">
      <c r="A830">
        <v>793</v>
      </c>
      <c r="B830" s="7"/>
      <c r="C830" s="28"/>
      <c r="D830" s="28"/>
    </row>
    <row r="831" spans="1:4" x14ac:dyDescent="0.25">
      <c r="A831">
        <v>794</v>
      </c>
      <c r="B831" s="7"/>
      <c r="C831" s="28"/>
      <c r="D831" s="28"/>
    </row>
    <row r="832" spans="1:4" x14ac:dyDescent="0.25">
      <c r="A832">
        <v>795</v>
      </c>
      <c r="B832" s="7"/>
      <c r="C832" s="28"/>
      <c r="D832" s="28"/>
    </row>
    <row r="833" spans="1:4" x14ac:dyDescent="0.25">
      <c r="A833">
        <v>796</v>
      </c>
      <c r="B833" s="7"/>
      <c r="C833" s="28"/>
      <c r="D833" s="28"/>
    </row>
    <row r="834" spans="1:4" x14ac:dyDescent="0.25">
      <c r="A834">
        <v>797</v>
      </c>
      <c r="B834" s="7"/>
      <c r="C834" s="28"/>
      <c r="D834" s="28"/>
    </row>
    <row r="835" spans="1:4" x14ac:dyDescent="0.25">
      <c r="A835">
        <v>798</v>
      </c>
      <c r="B835" s="7"/>
      <c r="C835" s="28"/>
      <c r="D835" s="28"/>
    </row>
    <row r="836" spans="1:4" ht="13" x14ac:dyDescent="0.3">
      <c r="A836">
        <v>799</v>
      </c>
      <c r="B836" s="7"/>
      <c r="C836" s="29"/>
      <c r="D836" s="28"/>
    </row>
    <row r="837" spans="1:4" x14ac:dyDescent="0.25">
      <c r="A837">
        <v>800</v>
      </c>
      <c r="B837" s="7"/>
      <c r="C837" s="28"/>
      <c r="D837" s="28"/>
    </row>
    <row r="838" spans="1:4" x14ac:dyDescent="0.25">
      <c r="A838">
        <v>801</v>
      </c>
      <c r="B838" s="7"/>
      <c r="C838" s="28"/>
      <c r="D838" s="28"/>
    </row>
    <row r="839" spans="1:4" x14ac:dyDescent="0.25">
      <c r="A839">
        <v>802</v>
      </c>
      <c r="B839" s="7"/>
      <c r="C839" s="28"/>
      <c r="D839" s="28"/>
    </row>
    <row r="840" spans="1:4" x14ac:dyDescent="0.25">
      <c r="A840">
        <v>803</v>
      </c>
      <c r="B840" s="7"/>
      <c r="C840" s="28"/>
      <c r="D840" s="28"/>
    </row>
    <row r="841" spans="1:4" x14ac:dyDescent="0.25">
      <c r="A841">
        <v>804</v>
      </c>
      <c r="B841" s="7"/>
      <c r="C841" s="28"/>
      <c r="D841" s="28"/>
    </row>
    <row r="842" spans="1:4" x14ac:dyDescent="0.25">
      <c r="A842">
        <v>805</v>
      </c>
      <c r="B842" s="7"/>
      <c r="C842" s="28"/>
      <c r="D842" s="28"/>
    </row>
    <row r="843" spans="1:4" x14ac:dyDescent="0.25">
      <c r="A843">
        <v>806</v>
      </c>
      <c r="B843" s="7"/>
      <c r="C843" s="28"/>
      <c r="D843" s="28"/>
    </row>
    <row r="844" spans="1:4" x14ac:dyDescent="0.25">
      <c r="A844">
        <v>807</v>
      </c>
      <c r="B844" s="7"/>
      <c r="C844" s="28"/>
      <c r="D844" s="28"/>
    </row>
    <row r="845" spans="1:4" x14ac:dyDescent="0.25">
      <c r="A845">
        <v>808</v>
      </c>
      <c r="B845" s="35"/>
      <c r="C845" s="36"/>
      <c r="D845" s="36"/>
    </row>
    <row r="846" spans="1:4" x14ac:dyDescent="0.25">
      <c r="A846">
        <v>809</v>
      </c>
      <c r="B846" s="7"/>
      <c r="C846" s="28"/>
      <c r="D846" s="28"/>
    </row>
    <row r="847" spans="1:4" x14ac:dyDescent="0.25">
      <c r="A847">
        <v>810</v>
      </c>
      <c r="B847" s="7"/>
      <c r="C847" s="28"/>
      <c r="D847" s="28"/>
    </row>
    <row r="848" spans="1:4" x14ac:dyDescent="0.25">
      <c r="A848">
        <v>811</v>
      </c>
      <c r="B848" s="7"/>
      <c r="C848" s="28"/>
      <c r="D848" s="28"/>
    </row>
    <row r="849" spans="1:4" x14ac:dyDescent="0.25">
      <c r="A849">
        <v>812</v>
      </c>
      <c r="B849" s="7"/>
      <c r="C849" s="28"/>
      <c r="D849" s="28"/>
    </row>
    <row r="850" spans="1:4" x14ac:dyDescent="0.25">
      <c r="A850">
        <v>813</v>
      </c>
      <c r="B850" s="7"/>
      <c r="C850" s="28"/>
      <c r="D850" s="28"/>
    </row>
    <row r="851" spans="1:4" x14ac:dyDescent="0.25">
      <c r="A851">
        <v>814</v>
      </c>
      <c r="B851" s="7"/>
      <c r="C851" s="28"/>
      <c r="D851" s="28"/>
    </row>
    <row r="852" spans="1:4" x14ac:dyDescent="0.25">
      <c r="A852">
        <v>815</v>
      </c>
      <c r="B852" s="7"/>
      <c r="C852" s="28"/>
      <c r="D852" s="28"/>
    </row>
    <row r="853" spans="1:4" x14ac:dyDescent="0.25">
      <c r="A853">
        <v>816</v>
      </c>
      <c r="B853" s="7"/>
      <c r="C853" s="28"/>
      <c r="D853" s="28"/>
    </row>
    <row r="854" spans="1:4" x14ac:dyDescent="0.25">
      <c r="A854">
        <v>817</v>
      </c>
      <c r="B854" s="7"/>
      <c r="C854" s="28"/>
      <c r="D854" s="28"/>
    </row>
    <row r="855" spans="1:4" x14ac:dyDescent="0.25">
      <c r="A855">
        <v>818</v>
      </c>
      <c r="B855" s="7"/>
      <c r="C855" s="28"/>
      <c r="D855" s="28"/>
    </row>
    <row r="856" spans="1:4" x14ac:dyDescent="0.25">
      <c r="A856">
        <v>819</v>
      </c>
      <c r="B856" s="7"/>
      <c r="C856" s="28"/>
      <c r="D856" s="28"/>
    </row>
    <row r="857" spans="1:4" x14ac:dyDescent="0.25">
      <c r="A857">
        <v>820</v>
      </c>
      <c r="B857" s="7"/>
      <c r="C857" s="28"/>
      <c r="D857" s="28"/>
    </row>
    <row r="858" spans="1:4" x14ac:dyDescent="0.25">
      <c r="A858">
        <v>821</v>
      </c>
      <c r="B858" s="7"/>
      <c r="C858" s="28"/>
      <c r="D858" s="28"/>
    </row>
    <row r="859" spans="1:4" x14ac:dyDescent="0.25">
      <c r="A859">
        <v>822</v>
      </c>
      <c r="B859" s="7"/>
      <c r="C859" s="28"/>
      <c r="D859" s="28"/>
    </row>
    <row r="860" spans="1:4" x14ac:dyDescent="0.25">
      <c r="A860">
        <v>823</v>
      </c>
      <c r="B860" s="7"/>
      <c r="C860" s="28"/>
      <c r="D860" s="28"/>
    </row>
    <row r="861" spans="1:4" x14ac:dyDescent="0.25">
      <c r="A861">
        <v>824</v>
      </c>
      <c r="B861" s="7"/>
      <c r="C861" s="28"/>
      <c r="D861" s="28"/>
    </row>
    <row r="862" spans="1:4" x14ac:dyDescent="0.25">
      <c r="A862">
        <v>825</v>
      </c>
      <c r="B862" s="7"/>
      <c r="C862" s="28"/>
      <c r="D862" s="28"/>
    </row>
    <row r="863" spans="1:4" x14ac:dyDescent="0.25">
      <c r="A863">
        <v>826</v>
      </c>
      <c r="B863" s="7"/>
      <c r="C863" s="28"/>
      <c r="D863" s="28"/>
    </row>
    <row r="864" spans="1:4" x14ac:dyDescent="0.25">
      <c r="A864">
        <v>827</v>
      </c>
      <c r="B864" s="7"/>
      <c r="C864" s="28"/>
      <c r="D864" s="28"/>
    </row>
    <row r="865" spans="1:4" x14ac:dyDescent="0.25">
      <c r="A865">
        <v>828</v>
      </c>
      <c r="B865" s="7"/>
      <c r="C865" s="28"/>
      <c r="D865" s="28"/>
    </row>
    <row r="866" spans="1:4" ht="13" x14ac:dyDescent="0.3">
      <c r="A866">
        <v>829</v>
      </c>
      <c r="B866" s="7"/>
      <c r="C866" s="29"/>
      <c r="D866" s="28"/>
    </row>
    <row r="867" spans="1:4" x14ac:dyDescent="0.25">
      <c r="A867">
        <v>830</v>
      </c>
      <c r="B867" s="7"/>
      <c r="C867" s="28"/>
      <c r="D867" s="28"/>
    </row>
    <row r="868" spans="1:4" x14ac:dyDescent="0.25">
      <c r="A868">
        <v>831</v>
      </c>
      <c r="B868" s="7"/>
      <c r="C868" s="28"/>
      <c r="D868" s="28"/>
    </row>
    <row r="869" spans="1:4" x14ac:dyDescent="0.25">
      <c r="A869">
        <v>832</v>
      </c>
      <c r="B869" s="7"/>
      <c r="C869" s="28"/>
      <c r="D869" s="28"/>
    </row>
    <row r="870" spans="1:4" x14ac:dyDescent="0.25">
      <c r="A870">
        <v>833</v>
      </c>
      <c r="B870" s="7"/>
      <c r="C870" s="28"/>
      <c r="D870" s="28"/>
    </row>
    <row r="871" spans="1:4" x14ac:dyDescent="0.25">
      <c r="A871">
        <v>834</v>
      </c>
      <c r="B871" s="7"/>
      <c r="C871" s="28"/>
      <c r="D871" s="28"/>
    </row>
    <row r="872" spans="1:4" x14ac:dyDescent="0.25">
      <c r="A872">
        <v>835</v>
      </c>
      <c r="B872" s="7"/>
      <c r="C872" s="28"/>
      <c r="D872" s="28"/>
    </row>
    <row r="873" spans="1:4" x14ac:dyDescent="0.25">
      <c r="A873">
        <v>836</v>
      </c>
      <c r="B873" s="7"/>
      <c r="C873" s="28"/>
      <c r="D873" s="28"/>
    </row>
    <row r="874" spans="1:4" x14ac:dyDescent="0.25">
      <c r="A874">
        <v>837</v>
      </c>
      <c r="B874" s="7"/>
      <c r="C874" s="28"/>
      <c r="D874" s="28"/>
    </row>
    <row r="875" spans="1:4" x14ac:dyDescent="0.25">
      <c r="A875">
        <v>838</v>
      </c>
      <c r="B875" s="7"/>
      <c r="C875" s="28"/>
      <c r="D875" s="28"/>
    </row>
    <row r="876" spans="1:4" x14ac:dyDescent="0.25">
      <c r="A876">
        <v>839</v>
      </c>
      <c r="B876" s="7"/>
      <c r="C876" s="28"/>
      <c r="D876" s="28"/>
    </row>
    <row r="877" spans="1:4" x14ac:dyDescent="0.25">
      <c r="A877">
        <v>840</v>
      </c>
      <c r="B877" s="7"/>
      <c r="C877" s="28"/>
      <c r="D877" s="28"/>
    </row>
    <row r="878" spans="1:4" x14ac:dyDescent="0.25">
      <c r="A878">
        <v>841</v>
      </c>
      <c r="B878" s="7"/>
      <c r="C878" s="28"/>
      <c r="D878" s="28"/>
    </row>
    <row r="879" spans="1:4" x14ac:dyDescent="0.25">
      <c r="A879">
        <v>842</v>
      </c>
      <c r="B879" s="7"/>
      <c r="C879" s="28"/>
      <c r="D879" s="28"/>
    </row>
    <row r="880" spans="1:4" x14ac:dyDescent="0.25">
      <c r="A880">
        <v>843</v>
      </c>
      <c r="B880" s="7"/>
      <c r="C880" s="28"/>
      <c r="D880" s="28"/>
    </row>
    <row r="881" spans="1:4" x14ac:dyDescent="0.25">
      <c r="A881">
        <v>844</v>
      </c>
      <c r="B881" s="7"/>
      <c r="C881" s="28"/>
      <c r="D881" s="28"/>
    </row>
    <row r="882" spans="1:4" x14ac:dyDescent="0.25">
      <c r="A882">
        <v>845</v>
      </c>
      <c r="B882" s="7"/>
      <c r="C882" s="28"/>
      <c r="D882" s="28"/>
    </row>
    <row r="883" spans="1:4" x14ac:dyDescent="0.25">
      <c r="A883">
        <v>846</v>
      </c>
      <c r="B883" s="7"/>
      <c r="C883" s="28"/>
      <c r="D883" s="28"/>
    </row>
    <row r="884" spans="1:4" x14ac:dyDescent="0.25">
      <c r="A884">
        <v>847</v>
      </c>
      <c r="B884" s="7"/>
      <c r="C884" s="28"/>
      <c r="D884" s="28"/>
    </row>
    <row r="885" spans="1:4" x14ac:dyDescent="0.25">
      <c r="A885">
        <v>848</v>
      </c>
      <c r="B885" s="7"/>
      <c r="C885" s="28"/>
      <c r="D885" s="28"/>
    </row>
    <row r="886" spans="1:4" x14ac:dyDescent="0.25">
      <c r="A886">
        <v>849</v>
      </c>
      <c r="B886" s="7"/>
      <c r="C886" s="28"/>
      <c r="D886" s="28"/>
    </row>
    <row r="887" spans="1:4" x14ac:dyDescent="0.25">
      <c r="A887">
        <v>850</v>
      </c>
      <c r="B887" s="7"/>
      <c r="C887" s="28"/>
      <c r="D887" s="28"/>
    </row>
    <row r="888" spans="1:4" x14ac:dyDescent="0.25">
      <c r="A888">
        <v>851</v>
      </c>
      <c r="B888" s="7"/>
      <c r="C888" s="28"/>
      <c r="D888" s="28"/>
    </row>
    <row r="889" spans="1:4" x14ac:dyDescent="0.25">
      <c r="A889">
        <v>852</v>
      </c>
      <c r="B889" s="35"/>
      <c r="C889" s="36"/>
      <c r="D889" s="36"/>
    </row>
    <row r="890" spans="1:4" x14ac:dyDescent="0.25">
      <c r="A890">
        <v>853</v>
      </c>
      <c r="B890" s="7"/>
      <c r="C890" s="28"/>
      <c r="D890" s="28"/>
    </row>
    <row r="891" spans="1:4" x14ac:dyDescent="0.25">
      <c r="A891">
        <v>854</v>
      </c>
      <c r="B891" s="7"/>
      <c r="C891" s="28"/>
      <c r="D891" s="28"/>
    </row>
    <row r="892" spans="1:4" x14ac:dyDescent="0.25">
      <c r="A892">
        <v>855</v>
      </c>
      <c r="B892" s="7"/>
      <c r="C892" s="28"/>
      <c r="D892" s="28"/>
    </row>
    <row r="893" spans="1:4" x14ac:dyDescent="0.25">
      <c r="A893">
        <v>856</v>
      </c>
      <c r="B893" s="7"/>
      <c r="C893" s="28"/>
      <c r="D893" s="28"/>
    </row>
    <row r="894" spans="1:4" x14ac:dyDescent="0.25">
      <c r="A894">
        <v>857</v>
      </c>
      <c r="B894" s="7"/>
      <c r="C894" s="28"/>
      <c r="D894" s="28"/>
    </row>
    <row r="895" spans="1:4" x14ac:dyDescent="0.25">
      <c r="A895">
        <v>858</v>
      </c>
      <c r="B895" s="7"/>
      <c r="C895" s="28"/>
      <c r="D895" s="28"/>
    </row>
    <row r="896" spans="1:4" x14ac:dyDescent="0.25">
      <c r="A896">
        <v>859</v>
      </c>
      <c r="B896" s="7"/>
      <c r="C896" s="28"/>
      <c r="D896" s="28"/>
    </row>
    <row r="897" spans="1:4" x14ac:dyDescent="0.25">
      <c r="A897">
        <v>860</v>
      </c>
      <c r="B897" s="7"/>
      <c r="C897" s="28"/>
      <c r="D897" s="28"/>
    </row>
    <row r="898" spans="1:4" x14ac:dyDescent="0.25">
      <c r="A898">
        <v>861</v>
      </c>
      <c r="B898" s="7"/>
      <c r="C898" s="28"/>
      <c r="D898" s="28"/>
    </row>
    <row r="899" spans="1:4" x14ac:dyDescent="0.25">
      <c r="A899">
        <v>862</v>
      </c>
      <c r="B899" s="7"/>
      <c r="C899" s="28"/>
      <c r="D899" s="28"/>
    </row>
    <row r="900" spans="1:4" x14ac:dyDescent="0.25">
      <c r="A900">
        <v>863</v>
      </c>
      <c r="B900" s="7"/>
      <c r="C900" s="28"/>
      <c r="D900" s="28"/>
    </row>
    <row r="901" spans="1:4" x14ac:dyDescent="0.25">
      <c r="A901">
        <v>864</v>
      </c>
      <c r="B901" s="7"/>
      <c r="C901" s="28"/>
      <c r="D901" s="28"/>
    </row>
    <row r="902" spans="1:4" x14ac:dyDescent="0.25">
      <c r="A902">
        <v>865</v>
      </c>
      <c r="B902" s="7"/>
      <c r="C902" s="28"/>
      <c r="D902" s="28"/>
    </row>
    <row r="903" spans="1:4" x14ac:dyDescent="0.25">
      <c r="A903">
        <v>866</v>
      </c>
      <c r="B903" s="7"/>
      <c r="C903" s="28"/>
      <c r="D903" s="28"/>
    </row>
    <row r="904" spans="1:4" x14ac:dyDescent="0.25">
      <c r="A904">
        <v>867</v>
      </c>
      <c r="B904" s="7"/>
      <c r="C904" s="28"/>
      <c r="D904" s="28"/>
    </row>
    <row r="905" spans="1:4" x14ac:dyDescent="0.25">
      <c r="A905">
        <v>868</v>
      </c>
      <c r="B905" s="7"/>
      <c r="C905" s="28"/>
      <c r="D905" s="28"/>
    </row>
    <row r="906" spans="1:4" x14ac:dyDescent="0.25">
      <c r="A906">
        <v>869</v>
      </c>
      <c r="B906" s="7"/>
      <c r="C906" s="28"/>
      <c r="D906" s="28"/>
    </row>
    <row r="907" spans="1:4" x14ac:dyDescent="0.25">
      <c r="A907">
        <v>870</v>
      </c>
      <c r="B907" s="7"/>
      <c r="C907" s="28"/>
      <c r="D907" s="28"/>
    </row>
    <row r="908" spans="1:4" x14ac:dyDescent="0.25">
      <c r="A908">
        <v>871</v>
      </c>
      <c r="B908" s="35"/>
      <c r="C908" s="36"/>
      <c r="D908" s="36"/>
    </row>
    <row r="909" spans="1:4" x14ac:dyDescent="0.25">
      <c r="A909">
        <v>872</v>
      </c>
      <c r="B909" s="7"/>
      <c r="C909" s="28"/>
      <c r="D909" s="28"/>
    </row>
    <row r="910" spans="1:4" x14ac:dyDescent="0.25">
      <c r="A910">
        <v>873</v>
      </c>
      <c r="B910" s="7"/>
      <c r="C910" s="28"/>
      <c r="D910" s="28"/>
    </row>
    <row r="911" spans="1:4" x14ac:dyDescent="0.25">
      <c r="A911">
        <v>874</v>
      </c>
      <c r="B911" s="7"/>
      <c r="C911" s="28"/>
      <c r="D911" s="28"/>
    </row>
    <row r="912" spans="1:4" x14ac:dyDescent="0.25">
      <c r="A912">
        <v>875</v>
      </c>
      <c r="B912" s="7"/>
      <c r="C912" s="28"/>
      <c r="D912" s="28"/>
    </row>
    <row r="913" spans="1:4" x14ac:dyDescent="0.25">
      <c r="A913">
        <v>876</v>
      </c>
      <c r="B913" s="7"/>
      <c r="C913" s="28"/>
      <c r="D913" s="28"/>
    </row>
    <row r="914" spans="1:4" x14ac:dyDescent="0.25">
      <c r="A914">
        <v>877</v>
      </c>
      <c r="B914" s="7"/>
      <c r="C914" s="28"/>
      <c r="D914" s="28"/>
    </row>
    <row r="915" spans="1:4" x14ac:dyDescent="0.25">
      <c r="A915">
        <v>878</v>
      </c>
      <c r="B915" s="7"/>
      <c r="C915" s="28"/>
      <c r="D915" s="28"/>
    </row>
    <row r="916" spans="1:4" x14ac:dyDescent="0.25">
      <c r="A916">
        <v>879</v>
      </c>
      <c r="B916" s="7"/>
      <c r="C916" s="28"/>
      <c r="D916" s="28"/>
    </row>
    <row r="917" spans="1:4" x14ac:dyDescent="0.25">
      <c r="A917">
        <v>880</v>
      </c>
      <c r="B917" s="7"/>
      <c r="C917" s="28"/>
      <c r="D917" s="28"/>
    </row>
    <row r="918" spans="1:4" x14ac:dyDescent="0.25">
      <c r="A918">
        <v>881</v>
      </c>
      <c r="B918" s="7"/>
      <c r="C918" s="28"/>
      <c r="D918" s="28"/>
    </row>
    <row r="919" spans="1:4" x14ac:dyDescent="0.25">
      <c r="A919">
        <v>882</v>
      </c>
      <c r="B919" s="7"/>
      <c r="C919" s="28"/>
      <c r="D919" s="28"/>
    </row>
    <row r="920" spans="1:4" x14ac:dyDescent="0.25">
      <c r="A920">
        <v>883</v>
      </c>
      <c r="B920" s="7"/>
      <c r="C920" s="28"/>
      <c r="D920" s="28"/>
    </row>
    <row r="921" spans="1:4" x14ac:dyDescent="0.25">
      <c r="A921">
        <v>884</v>
      </c>
      <c r="B921" s="7"/>
      <c r="C921" s="28"/>
      <c r="D921" s="28"/>
    </row>
    <row r="922" spans="1:4" x14ac:dyDescent="0.25">
      <c r="A922">
        <v>885</v>
      </c>
      <c r="B922" s="7"/>
      <c r="C922" s="28"/>
      <c r="D922" s="28"/>
    </row>
    <row r="923" spans="1:4" x14ac:dyDescent="0.25">
      <c r="A923">
        <v>886</v>
      </c>
      <c r="B923" s="7"/>
      <c r="C923" s="28"/>
      <c r="D923" s="28"/>
    </row>
    <row r="924" spans="1:4" x14ac:dyDescent="0.25">
      <c r="A924">
        <v>887</v>
      </c>
      <c r="B924" s="7"/>
      <c r="C924" s="28"/>
      <c r="D924" s="28"/>
    </row>
    <row r="925" spans="1:4" x14ac:dyDescent="0.25">
      <c r="A925">
        <v>888</v>
      </c>
      <c r="B925" s="7"/>
      <c r="C925" s="28"/>
      <c r="D925" s="28"/>
    </row>
    <row r="926" spans="1:4" x14ac:dyDescent="0.25">
      <c r="A926">
        <v>889</v>
      </c>
      <c r="B926" s="7"/>
      <c r="C926" s="28"/>
      <c r="D926" s="28"/>
    </row>
    <row r="927" spans="1:4" x14ac:dyDescent="0.25">
      <c r="A927">
        <v>890</v>
      </c>
      <c r="B927" s="7"/>
      <c r="C927" s="28"/>
      <c r="D927" s="28"/>
    </row>
    <row r="928" spans="1:4" x14ac:dyDescent="0.25">
      <c r="A928">
        <v>891</v>
      </c>
      <c r="B928" s="35"/>
      <c r="C928" s="36"/>
      <c r="D928" s="36"/>
    </row>
    <row r="929" spans="1:4" x14ac:dyDescent="0.25">
      <c r="A929">
        <v>892</v>
      </c>
      <c r="B929" s="7"/>
      <c r="C929" s="28"/>
      <c r="D929" s="28"/>
    </row>
    <row r="930" spans="1:4" x14ac:dyDescent="0.25">
      <c r="A930">
        <v>893</v>
      </c>
      <c r="B930" s="7"/>
      <c r="C930" s="28"/>
      <c r="D930" s="28"/>
    </row>
    <row r="931" spans="1:4" x14ac:dyDescent="0.25">
      <c r="A931">
        <v>894</v>
      </c>
      <c r="B931" s="7"/>
      <c r="C931" s="28"/>
      <c r="D931" s="28"/>
    </row>
    <row r="932" spans="1:4" x14ac:dyDescent="0.25">
      <c r="A932">
        <v>895</v>
      </c>
      <c r="B932" s="7"/>
      <c r="C932" s="28"/>
      <c r="D932" s="28"/>
    </row>
    <row r="933" spans="1:4" x14ac:dyDescent="0.25">
      <c r="A933">
        <v>896</v>
      </c>
      <c r="B933" s="7"/>
      <c r="C933" s="28"/>
      <c r="D933" s="28"/>
    </row>
    <row r="934" spans="1:4" x14ac:dyDescent="0.25">
      <c r="A934">
        <v>897</v>
      </c>
      <c r="B934" s="7"/>
      <c r="C934" s="28"/>
      <c r="D934" s="28"/>
    </row>
    <row r="935" spans="1:4" x14ac:dyDescent="0.25">
      <c r="A935">
        <v>898</v>
      </c>
      <c r="B935" s="7"/>
      <c r="C935" s="28"/>
      <c r="D935" s="28"/>
    </row>
    <row r="936" spans="1:4" x14ac:dyDescent="0.25">
      <c r="A936">
        <v>899</v>
      </c>
      <c r="B936" s="7"/>
      <c r="C936" s="28"/>
      <c r="D936" s="28"/>
    </row>
    <row r="937" spans="1:4" x14ac:dyDescent="0.25">
      <c r="A937">
        <v>900</v>
      </c>
      <c r="B937" s="7"/>
      <c r="C937" s="28"/>
      <c r="D937" s="28"/>
    </row>
    <row r="938" spans="1:4" x14ac:dyDescent="0.25">
      <c r="A938">
        <v>901</v>
      </c>
      <c r="B938" s="35"/>
      <c r="C938" s="36"/>
      <c r="D938" s="36"/>
    </row>
    <row r="939" spans="1:4" x14ac:dyDescent="0.25">
      <c r="A939">
        <v>902</v>
      </c>
      <c r="B939" s="7"/>
      <c r="C939" s="28"/>
      <c r="D939" s="28"/>
    </row>
    <row r="940" spans="1:4" x14ac:dyDescent="0.25">
      <c r="A940">
        <v>903</v>
      </c>
      <c r="B940" s="7"/>
      <c r="C940" s="28"/>
      <c r="D940" s="28"/>
    </row>
    <row r="941" spans="1:4" x14ac:dyDescent="0.25">
      <c r="A941">
        <v>904</v>
      </c>
      <c r="B941" s="7"/>
      <c r="C941" s="28"/>
      <c r="D941" s="28"/>
    </row>
    <row r="942" spans="1:4" x14ac:dyDescent="0.25">
      <c r="A942">
        <v>905</v>
      </c>
      <c r="B942" s="7"/>
      <c r="C942" s="28"/>
      <c r="D942" s="28"/>
    </row>
    <row r="943" spans="1:4" x14ac:dyDescent="0.25">
      <c r="A943">
        <v>906</v>
      </c>
      <c r="B943" s="7"/>
      <c r="C943" s="28"/>
      <c r="D943" s="28"/>
    </row>
    <row r="944" spans="1:4" x14ac:dyDescent="0.25">
      <c r="A944">
        <v>907</v>
      </c>
      <c r="B944" s="7"/>
      <c r="C944" s="28"/>
      <c r="D944" s="28"/>
    </row>
    <row r="945" spans="1:4" x14ac:dyDescent="0.25">
      <c r="A945">
        <v>908</v>
      </c>
      <c r="B945" s="7"/>
      <c r="C945" s="28"/>
      <c r="D945" s="28"/>
    </row>
    <row r="946" spans="1:4" x14ac:dyDescent="0.25">
      <c r="A946">
        <v>909</v>
      </c>
      <c r="B946" s="7"/>
      <c r="C946" s="28"/>
      <c r="D946" s="28"/>
    </row>
    <row r="947" spans="1:4" x14ac:dyDescent="0.25">
      <c r="A947">
        <v>910</v>
      </c>
      <c r="B947" s="7"/>
      <c r="C947" s="28"/>
      <c r="D947" s="28"/>
    </row>
    <row r="948" spans="1:4" x14ac:dyDescent="0.25">
      <c r="A948">
        <v>911</v>
      </c>
      <c r="B948" s="7"/>
      <c r="C948" s="28"/>
      <c r="D948" s="28"/>
    </row>
    <row r="949" spans="1:4" x14ac:dyDescent="0.25">
      <c r="A949">
        <v>912</v>
      </c>
      <c r="B949" s="7"/>
      <c r="C949" s="28"/>
      <c r="D949" s="28"/>
    </row>
    <row r="950" spans="1:4" x14ac:dyDescent="0.25">
      <c r="A950">
        <v>913</v>
      </c>
      <c r="B950" s="7"/>
      <c r="C950" s="28"/>
      <c r="D950" s="28"/>
    </row>
    <row r="951" spans="1:4" ht="13" x14ac:dyDescent="0.3">
      <c r="A951">
        <v>914</v>
      </c>
      <c r="B951" s="7"/>
      <c r="C951" s="29"/>
      <c r="D951" s="28"/>
    </row>
    <row r="952" spans="1:4" x14ac:dyDescent="0.25">
      <c r="A952">
        <v>915</v>
      </c>
      <c r="B952" s="7"/>
      <c r="C952" s="28"/>
      <c r="D952" s="28"/>
    </row>
    <row r="953" spans="1:4" x14ac:dyDescent="0.25">
      <c r="A953">
        <v>916</v>
      </c>
      <c r="B953" s="7"/>
      <c r="C953" s="28"/>
      <c r="D953" s="28"/>
    </row>
    <row r="954" spans="1:4" x14ac:dyDescent="0.25">
      <c r="A954">
        <v>917</v>
      </c>
      <c r="B954" s="7"/>
      <c r="C954" s="28"/>
      <c r="D954" s="28"/>
    </row>
    <row r="955" spans="1:4" x14ac:dyDescent="0.25">
      <c r="A955">
        <v>918</v>
      </c>
      <c r="B955" s="7"/>
      <c r="C955" s="28"/>
      <c r="D955" s="28"/>
    </row>
    <row r="956" spans="1:4" x14ac:dyDescent="0.25">
      <c r="A956">
        <v>919</v>
      </c>
      <c r="B956" s="7"/>
      <c r="C956" s="28"/>
      <c r="D956" s="28"/>
    </row>
    <row r="957" spans="1:4" x14ac:dyDescent="0.25">
      <c r="A957">
        <v>920</v>
      </c>
      <c r="B957" s="7"/>
      <c r="C957" s="28"/>
      <c r="D957" s="28"/>
    </row>
    <row r="958" spans="1:4" x14ac:dyDescent="0.25">
      <c r="A958">
        <v>921</v>
      </c>
      <c r="B958" s="7"/>
      <c r="C958" s="28"/>
      <c r="D958" s="28"/>
    </row>
    <row r="959" spans="1:4" x14ac:dyDescent="0.25">
      <c r="A959">
        <v>922</v>
      </c>
      <c r="B959" s="7"/>
      <c r="C959" s="28"/>
      <c r="D959" s="28"/>
    </row>
    <row r="960" spans="1:4" x14ac:dyDescent="0.25">
      <c r="A960">
        <v>923</v>
      </c>
      <c r="B960" s="7"/>
      <c r="C960" s="28"/>
      <c r="D960" s="28"/>
    </row>
    <row r="961" spans="1:4" x14ac:dyDescent="0.25">
      <c r="A961">
        <v>924</v>
      </c>
      <c r="B961" s="7"/>
      <c r="C961" s="28"/>
      <c r="D961" s="28"/>
    </row>
    <row r="962" spans="1:4" x14ac:dyDescent="0.25">
      <c r="A962">
        <v>925</v>
      </c>
      <c r="B962" s="7"/>
      <c r="C962" s="28"/>
      <c r="D962" s="28"/>
    </row>
    <row r="963" spans="1:4" x14ac:dyDescent="0.25">
      <c r="A963">
        <v>926</v>
      </c>
      <c r="B963" s="7"/>
      <c r="C963" s="28"/>
      <c r="D963" s="28"/>
    </row>
    <row r="964" spans="1:4" x14ac:dyDescent="0.25">
      <c r="A964">
        <v>927</v>
      </c>
      <c r="B964" s="7"/>
      <c r="C964" s="28"/>
      <c r="D964" s="28"/>
    </row>
    <row r="965" spans="1:4" x14ac:dyDescent="0.25">
      <c r="A965">
        <v>928</v>
      </c>
      <c r="B965" s="7"/>
      <c r="C965" s="28"/>
      <c r="D965" s="28"/>
    </row>
    <row r="966" spans="1:4" x14ac:dyDescent="0.25">
      <c r="A966">
        <v>929</v>
      </c>
      <c r="B966" s="7"/>
      <c r="C966" s="28"/>
      <c r="D966" s="28"/>
    </row>
    <row r="967" spans="1:4" x14ac:dyDescent="0.25">
      <c r="A967">
        <v>930</v>
      </c>
      <c r="B967" s="7"/>
      <c r="C967" s="28"/>
      <c r="D967" s="28"/>
    </row>
    <row r="968" spans="1:4" x14ac:dyDescent="0.25">
      <c r="A968">
        <v>931</v>
      </c>
      <c r="B968" s="7"/>
      <c r="C968" s="28"/>
      <c r="D968" s="28"/>
    </row>
    <row r="969" spans="1:4" x14ac:dyDescent="0.25">
      <c r="A969">
        <v>932</v>
      </c>
      <c r="B969" s="7"/>
      <c r="C969" s="28"/>
      <c r="D969" s="28"/>
    </row>
    <row r="970" spans="1:4" x14ac:dyDescent="0.25">
      <c r="A970">
        <v>933</v>
      </c>
      <c r="B970" s="7"/>
      <c r="C970" s="28"/>
      <c r="D970" s="28"/>
    </row>
    <row r="971" spans="1:4" x14ac:dyDescent="0.25">
      <c r="A971">
        <v>934</v>
      </c>
      <c r="B971" s="7"/>
      <c r="C971" s="28"/>
      <c r="D971" s="28"/>
    </row>
    <row r="972" spans="1:4" x14ac:dyDescent="0.25">
      <c r="A972">
        <v>935</v>
      </c>
      <c r="B972" s="7"/>
      <c r="C972" s="28"/>
      <c r="D972" s="28"/>
    </row>
    <row r="973" spans="1:4" x14ac:dyDescent="0.25">
      <c r="A973">
        <v>936</v>
      </c>
      <c r="B973" s="7"/>
      <c r="C973" s="28"/>
      <c r="D973" s="28"/>
    </row>
    <row r="974" spans="1:4" x14ac:dyDescent="0.25">
      <c r="A974">
        <v>937</v>
      </c>
      <c r="B974" s="7"/>
      <c r="C974" s="28"/>
      <c r="D974" s="28"/>
    </row>
    <row r="975" spans="1:4" x14ac:dyDescent="0.25">
      <c r="A975">
        <v>938</v>
      </c>
      <c r="B975" s="7"/>
      <c r="C975" s="28"/>
      <c r="D975" s="28"/>
    </row>
    <row r="976" spans="1:4" x14ac:dyDescent="0.25">
      <c r="A976">
        <v>939</v>
      </c>
      <c r="B976" s="7"/>
      <c r="C976" s="28"/>
      <c r="D976" s="28"/>
    </row>
    <row r="977" spans="1:4" x14ac:dyDescent="0.25">
      <c r="A977">
        <v>940</v>
      </c>
      <c r="B977" s="7"/>
      <c r="C977" s="28"/>
      <c r="D977" s="28"/>
    </row>
    <row r="978" spans="1:4" x14ac:dyDescent="0.25">
      <c r="A978">
        <v>941</v>
      </c>
      <c r="B978" s="7"/>
      <c r="C978" s="28"/>
      <c r="D978" s="28"/>
    </row>
    <row r="979" spans="1:4" x14ac:dyDescent="0.25">
      <c r="A979">
        <v>942</v>
      </c>
      <c r="B979" s="7"/>
      <c r="C979" s="28"/>
      <c r="D979" s="28"/>
    </row>
    <row r="980" spans="1:4" x14ac:dyDescent="0.25">
      <c r="A980">
        <v>943</v>
      </c>
      <c r="B980" s="7"/>
      <c r="C980" s="28"/>
      <c r="D980" s="28"/>
    </row>
    <row r="981" spans="1:4" x14ac:dyDescent="0.25">
      <c r="A981">
        <v>944</v>
      </c>
      <c r="B981" s="7"/>
      <c r="C981" s="28"/>
      <c r="D981" s="28"/>
    </row>
    <row r="982" spans="1:4" x14ac:dyDescent="0.25">
      <c r="A982">
        <v>945</v>
      </c>
      <c r="B982" s="7"/>
      <c r="C982" s="28"/>
      <c r="D982" s="28"/>
    </row>
    <row r="983" spans="1:4" x14ac:dyDescent="0.25">
      <c r="A983">
        <v>946</v>
      </c>
      <c r="B983" s="7"/>
      <c r="C983" s="28"/>
      <c r="D983" s="28"/>
    </row>
    <row r="984" spans="1:4" x14ac:dyDescent="0.25">
      <c r="A984">
        <v>947</v>
      </c>
      <c r="B984" s="7"/>
      <c r="C984" s="28"/>
      <c r="D984" s="28"/>
    </row>
    <row r="985" spans="1:4" x14ac:dyDescent="0.25">
      <c r="A985">
        <v>948</v>
      </c>
      <c r="B985" s="7"/>
      <c r="C985" s="28"/>
      <c r="D985" s="28"/>
    </row>
    <row r="986" spans="1:4" x14ac:dyDescent="0.25">
      <c r="A986">
        <v>949</v>
      </c>
      <c r="B986" s="7"/>
      <c r="C986" s="28"/>
      <c r="D986" s="28"/>
    </row>
    <row r="987" spans="1:4" x14ac:dyDescent="0.25">
      <c r="A987">
        <v>950</v>
      </c>
      <c r="B987" s="7"/>
      <c r="C987" s="28"/>
      <c r="D987" s="28"/>
    </row>
    <row r="988" spans="1:4" x14ac:dyDescent="0.25">
      <c r="A988">
        <v>951</v>
      </c>
      <c r="B988" s="35"/>
      <c r="C988" s="36"/>
      <c r="D988" s="36"/>
    </row>
    <row r="989" spans="1:4" x14ac:dyDescent="0.25">
      <c r="A989">
        <v>952</v>
      </c>
      <c r="B989" s="7"/>
      <c r="C989" s="28"/>
      <c r="D989" s="28"/>
    </row>
    <row r="990" spans="1:4" x14ac:dyDescent="0.25">
      <c r="A990">
        <v>953</v>
      </c>
      <c r="B990" s="7"/>
      <c r="C990" s="28"/>
      <c r="D990" s="28"/>
    </row>
    <row r="991" spans="1:4" x14ac:dyDescent="0.25">
      <c r="A991">
        <v>954</v>
      </c>
      <c r="B991" s="7"/>
      <c r="C991" s="28"/>
      <c r="D991" s="28"/>
    </row>
    <row r="992" spans="1:4" x14ac:dyDescent="0.25">
      <c r="A992">
        <v>955</v>
      </c>
      <c r="B992" s="7"/>
      <c r="C992" s="28"/>
      <c r="D992" s="28"/>
    </row>
    <row r="993" spans="1:4" x14ac:dyDescent="0.25">
      <c r="A993">
        <v>956</v>
      </c>
      <c r="B993" s="7"/>
      <c r="C993" s="28"/>
      <c r="D993" s="28"/>
    </row>
    <row r="994" spans="1:4" x14ac:dyDescent="0.25">
      <c r="A994">
        <v>957</v>
      </c>
      <c r="B994" s="7"/>
      <c r="C994" s="28"/>
      <c r="D994" s="28"/>
    </row>
    <row r="995" spans="1:4" x14ac:dyDescent="0.25">
      <c r="A995">
        <v>958</v>
      </c>
      <c r="B995" s="7"/>
      <c r="C995" s="28"/>
      <c r="D995" s="28"/>
    </row>
    <row r="996" spans="1:4" x14ac:dyDescent="0.25">
      <c r="A996">
        <v>959</v>
      </c>
      <c r="B996" s="7"/>
      <c r="C996" s="28"/>
      <c r="D996" s="28"/>
    </row>
    <row r="997" spans="1:4" x14ac:dyDescent="0.25">
      <c r="A997">
        <v>960</v>
      </c>
      <c r="B997" s="7"/>
      <c r="C997" s="28"/>
      <c r="D997" s="28"/>
    </row>
    <row r="998" spans="1:4" x14ac:dyDescent="0.25">
      <c r="A998">
        <v>961</v>
      </c>
      <c r="B998" s="7"/>
      <c r="C998" s="28"/>
      <c r="D998" s="28"/>
    </row>
    <row r="999" spans="1:4" x14ac:dyDescent="0.25">
      <c r="A999">
        <v>962</v>
      </c>
      <c r="B999" s="7"/>
      <c r="C999" s="28"/>
      <c r="D999" s="28"/>
    </row>
    <row r="1000" spans="1:4" x14ac:dyDescent="0.25">
      <c r="A1000">
        <v>963</v>
      </c>
      <c r="B1000" s="7"/>
      <c r="C1000" s="28"/>
      <c r="D1000" s="28"/>
    </row>
    <row r="1001" spans="1:4" x14ac:dyDescent="0.25">
      <c r="A1001">
        <v>964</v>
      </c>
      <c r="B1001" s="7"/>
      <c r="C1001" s="28"/>
      <c r="D1001" s="28"/>
    </row>
    <row r="1002" spans="1:4" x14ac:dyDescent="0.25">
      <c r="A1002">
        <v>965</v>
      </c>
      <c r="B1002" s="7"/>
      <c r="C1002" s="28"/>
      <c r="D1002" s="28"/>
    </row>
    <row r="1003" spans="1:4" ht="13" x14ac:dyDescent="0.3">
      <c r="A1003">
        <v>966</v>
      </c>
      <c r="B1003" s="7"/>
      <c r="C1003" s="29"/>
      <c r="D1003" s="28"/>
    </row>
    <row r="1004" spans="1:4" x14ac:dyDescent="0.25">
      <c r="A1004">
        <v>967</v>
      </c>
      <c r="B1004" s="7"/>
      <c r="C1004" s="28"/>
      <c r="D1004" s="28"/>
    </row>
    <row r="1005" spans="1:4" x14ac:dyDescent="0.25">
      <c r="A1005">
        <v>968</v>
      </c>
      <c r="B1005" s="7"/>
      <c r="C1005" s="28"/>
      <c r="D1005" s="28"/>
    </row>
    <row r="1006" spans="1:4" x14ac:dyDescent="0.25">
      <c r="A1006">
        <v>969</v>
      </c>
      <c r="B1006" s="7"/>
      <c r="C1006" s="28"/>
      <c r="D1006" s="28"/>
    </row>
    <row r="1007" spans="1:4" x14ac:dyDescent="0.25">
      <c r="A1007">
        <v>970</v>
      </c>
      <c r="B1007" s="7"/>
      <c r="C1007" s="28"/>
      <c r="D1007" s="28"/>
    </row>
    <row r="1008" spans="1:4" x14ac:dyDescent="0.25">
      <c r="A1008">
        <v>971</v>
      </c>
      <c r="B1008" s="7"/>
      <c r="C1008" s="28"/>
      <c r="D1008" s="28"/>
    </row>
    <row r="1009" spans="1:4" x14ac:dyDescent="0.25">
      <c r="A1009">
        <v>972</v>
      </c>
      <c r="B1009" s="7"/>
      <c r="C1009" s="28"/>
      <c r="D1009" s="28"/>
    </row>
    <row r="1010" spans="1:4" x14ac:dyDescent="0.25">
      <c r="A1010">
        <v>973</v>
      </c>
      <c r="B1010" s="7"/>
      <c r="C1010" s="28"/>
      <c r="D1010" s="28"/>
    </row>
    <row r="1011" spans="1:4" x14ac:dyDescent="0.25">
      <c r="A1011">
        <v>974</v>
      </c>
      <c r="B1011" s="7"/>
      <c r="C1011" s="28"/>
      <c r="D1011" s="28"/>
    </row>
    <row r="1012" spans="1:4" x14ac:dyDescent="0.25">
      <c r="A1012">
        <v>975</v>
      </c>
    </row>
    <row r="1013" spans="1:4" x14ac:dyDescent="0.25">
      <c r="A1013">
        <v>976</v>
      </c>
      <c r="B1013" s="7"/>
      <c r="C1013" s="28"/>
      <c r="D1013" s="28"/>
    </row>
    <row r="1014" spans="1:4" x14ac:dyDescent="0.25">
      <c r="A1014">
        <v>977</v>
      </c>
      <c r="B1014" s="7"/>
      <c r="C1014" s="28"/>
      <c r="D1014" s="28"/>
    </row>
    <row r="1015" spans="1:4" x14ac:dyDescent="0.25">
      <c r="A1015">
        <v>978</v>
      </c>
      <c r="B1015" s="7"/>
      <c r="C1015" s="28"/>
      <c r="D1015" s="28"/>
    </row>
    <row r="1016" spans="1:4" x14ac:dyDescent="0.25">
      <c r="A1016">
        <v>979</v>
      </c>
      <c r="B1016" s="7"/>
      <c r="C1016" s="28"/>
      <c r="D1016" s="28"/>
    </row>
    <row r="1017" spans="1:4" ht="13" x14ac:dyDescent="0.3">
      <c r="A1017">
        <v>980</v>
      </c>
      <c r="B1017" s="7"/>
      <c r="C1017" s="29"/>
      <c r="D1017" s="28"/>
    </row>
    <row r="1018" spans="1:4" x14ac:dyDescent="0.25">
      <c r="A1018">
        <v>981</v>
      </c>
      <c r="B1018" s="7"/>
      <c r="C1018" s="28"/>
      <c r="D1018" s="28"/>
    </row>
    <row r="1019" spans="1:4" x14ac:dyDescent="0.25">
      <c r="A1019">
        <v>982</v>
      </c>
      <c r="B1019" s="7"/>
      <c r="C1019" s="28"/>
      <c r="D1019" s="28"/>
    </row>
    <row r="1020" spans="1:4" x14ac:dyDescent="0.25">
      <c r="A1020">
        <v>983</v>
      </c>
      <c r="B1020" s="7"/>
      <c r="C1020" s="28"/>
      <c r="D1020" s="28"/>
    </row>
    <row r="1021" spans="1:4" x14ac:dyDescent="0.25">
      <c r="A1021">
        <v>984</v>
      </c>
      <c r="B1021" s="7"/>
      <c r="C1021" s="28"/>
      <c r="D1021" s="28"/>
    </row>
    <row r="1022" spans="1:4" x14ac:dyDescent="0.25">
      <c r="A1022">
        <v>985</v>
      </c>
      <c r="B1022" s="7"/>
      <c r="C1022" s="28"/>
      <c r="D1022" s="28"/>
    </row>
    <row r="1023" spans="1:4" x14ac:dyDescent="0.25">
      <c r="A1023">
        <v>986</v>
      </c>
      <c r="B1023" s="7"/>
      <c r="C1023" s="28"/>
      <c r="D1023" s="28"/>
    </row>
    <row r="1024" spans="1:4" x14ac:dyDescent="0.25">
      <c r="A1024">
        <v>987</v>
      </c>
      <c r="B1024" s="7"/>
      <c r="C1024" s="28"/>
      <c r="D1024" s="28"/>
    </row>
    <row r="1025" spans="1:4" x14ac:dyDescent="0.25">
      <c r="A1025">
        <v>988</v>
      </c>
      <c r="B1025" s="7"/>
      <c r="C1025" s="28"/>
      <c r="D1025" s="28"/>
    </row>
    <row r="1026" spans="1:4" x14ac:dyDescent="0.25">
      <c r="A1026">
        <v>989</v>
      </c>
      <c r="B1026" s="7"/>
      <c r="C1026" s="28"/>
      <c r="D1026" s="28"/>
    </row>
    <row r="1027" spans="1:4" x14ac:dyDescent="0.25">
      <c r="A1027">
        <v>990</v>
      </c>
      <c r="B1027" s="7"/>
      <c r="C1027" s="28"/>
      <c r="D1027" s="28"/>
    </row>
    <row r="1028" spans="1:4" x14ac:dyDescent="0.25">
      <c r="A1028">
        <v>991</v>
      </c>
      <c r="B1028" s="7"/>
      <c r="C1028" s="28"/>
      <c r="D1028" s="28"/>
    </row>
    <row r="1029" spans="1:4" x14ac:dyDescent="0.25">
      <c r="A1029">
        <v>992</v>
      </c>
      <c r="B1029" s="35"/>
      <c r="C1029" s="36"/>
      <c r="D1029" s="36"/>
    </row>
    <row r="1030" spans="1:4" ht="13" x14ac:dyDescent="0.3">
      <c r="A1030">
        <v>993</v>
      </c>
      <c r="B1030" s="7"/>
      <c r="C1030" s="29"/>
      <c r="D1030" s="28"/>
    </row>
    <row r="1031" spans="1:4" x14ac:dyDescent="0.25">
      <c r="A1031">
        <v>994</v>
      </c>
      <c r="B1031" s="7"/>
      <c r="C1031" s="28"/>
      <c r="D1031" s="28"/>
    </row>
    <row r="1032" spans="1:4" x14ac:dyDescent="0.25">
      <c r="A1032">
        <v>995</v>
      </c>
      <c r="B1032" s="7"/>
      <c r="C1032" s="28"/>
      <c r="D1032" s="28"/>
    </row>
    <row r="1033" spans="1:4" x14ac:dyDescent="0.25">
      <c r="A1033">
        <v>996</v>
      </c>
      <c r="B1033" s="7"/>
      <c r="C1033" s="28"/>
      <c r="D1033" s="28"/>
    </row>
    <row r="1034" spans="1:4" x14ac:dyDescent="0.25">
      <c r="A1034">
        <v>997</v>
      </c>
      <c r="B1034" s="7"/>
      <c r="C1034" s="28"/>
      <c r="D1034" s="28"/>
    </row>
    <row r="1035" spans="1:4" x14ac:dyDescent="0.25">
      <c r="A1035">
        <v>998</v>
      </c>
      <c r="B1035" s="7"/>
      <c r="C1035" s="28"/>
      <c r="D1035" s="28"/>
    </row>
    <row r="1036" spans="1:4" x14ac:dyDescent="0.25">
      <c r="A1036">
        <v>999</v>
      </c>
      <c r="B1036" s="7"/>
      <c r="C1036" s="28"/>
      <c r="D1036" s="28"/>
    </row>
    <row r="1037" spans="1:4" x14ac:dyDescent="0.25">
      <c r="A1037">
        <v>1000</v>
      </c>
      <c r="B1037" s="7"/>
      <c r="C1037" s="28"/>
      <c r="D1037" s="28"/>
    </row>
  </sheetData>
  <scenarios current="19" show="4" sqref="B33 C33 B35">
    <scenario name="cAsympLow" locked="1" count="1" user="Andrew Briggs" comment="Created by Andrew Briggs on 05/03/98_x000a_Modified by Andrew Briggs on 05/03/98">
      <inputCells r="B5" val="250"/>
    </scenario>
    <scenario name="cAsympHigh" locked="1" count="1" user="Andrew Briggs" comment="Created by Andrew Briggs on 05/03/98">
      <inputCells r="B5" val="750"/>
    </scenario>
    <scenario name="cDeathLow" locked="1" count="1" user="Andrew Briggs" comment="Created by Andrew Briggs on 05/03/98_x000a_Modified by Andrew Briggs on 05/03/98">
      <inputCells r="B6" val="500"/>
    </scenario>
    <scenario name="cDeathHigh" locked="1" count="1" user="Andrew Briggs" comment="Created by Andrew Briggs on 05/03/98">
      <inputCells r="B6" val="1500"/>
    </scenario>
    <scenario name="cDrugLow" locked="1" count="1" user="Andrew Briggs" comment="Created by Andrew Briggs on 05/03/98_x000a_Modified by Andrew Briggs on 05/03/98">
      <inputCells r="B7" val="800"/>
    </scenario>
    <scenario name="cDrugHigh" locked="1" count="1" user="Andrew Briggs" comment="Created by Andrew Briggs on 05/03/98_x000a_Modified by Andrew Briggs on 05/03/98">
      <inputCells r="B7" val="1200"/>
    </scenario>
    <scenario name="cmDeathLow" locked="1" count="1" user="Andrew Briggs" comment="Created by Andrew Briggs on 05/03/98">
      <inputCells r="B8" val="0.1"/>
    </scenario>
    <scenario name="cmDeathHigh" locked="1" count="1" user="Andrew Briggs" comment="Created by Andrew Briggs on 05/03/98">
      <inputCells r="B8" val="0.2"/>
    </scenario>
    <scenario name="cProgLow" locked="1" count="1" user="Andrew Briggs" comment="Created by Andrew Briggs on 05/03/98">
      <inputCells r="B9" val="2000"/>
    </scenario>
    <scenario name="cProgHigh" locked="1" count="1" user="Andrew Briggs" comment="Created by Andrew Briggs on 05/03/98">
      <inputCells r="B9" val="4000"/>
    </scenario>
    <scenario name="effLow" locked="1" count="1" user="Andrew Briggs" comment="Created by Andrew Briggs on 05/03/98">
      <inputCells r="B10" val="0.4" numFmtId="9"/>
    </scenario>
    <scenario name="effHigh" locked="1" count="1" user="Andrew Briggs" comment="Created by Andrew Briggs on 05/03/98">
      <inputCells r="B10" val="0.6" numFmtId="9"/>
    </scenario>
    <scenario name="progLow" locked="1" count="1" user="Andrew Briggs" comment="Created by Andrew Briggs on 05/03/98">
      <inputCells r="B11" val="0.005"/>
    </scenario>
    <scenario name="progHigh" locked="1" count="1" user="Andrew Briggs" comment="Created by Andrew Briggs on 05/03/98">
      <inputCells r="B11" val="0.015"/>
    </scenario>
    <scenario name="uAsympLow" locked="1" count="1" user="Andrew Briggs" comment="Created by Andrew Briggs on 05/03/98_x000a_Modified by Andrew Briggs on 05/03/98">
      <inputCells r="B12" val="0.9"/>
    </scenario>
    <scenario name="uAsympHigh" locked="1" count="1" user="Andrew Briggs" comment="Created by Andrew Briggs on 05/03/98">
      <inputCells r="B12" val="1"/>
    </scenario>
    <scenario name="uProgLow" locked="1" count="1" user="Andrew Briggs" comment="Created by Andrew Briggs on 05/03/98">
      <inputCells r="B13" val="0.6"/>
    </scenario>
    <scenario name="uProgHigh" locked="1" count="1" user="Andrew Briggs" comment="Created by Andrew Briggs on 05/03/98">
      <inputCells r="B13" val="0.9"/>
    </scenario>
    <scenario name="worst-case" locked="1" count="9" user="Andrew Briggs" comment="Created by Andrew Briggs on 05/03/98">
      <inputCells r="B5" val="750"/>
      <inputCells r="B6" val="500"/>
      <inputCells r="B7" val="1200"/>
      <inputCells r="B8" val="0.1"/>
      <inputCells r="B9" val="2000"/>
      <inputCells r="B10" val="0.4" numFmtId="9"/>
      <inputCells r="B11" val="0.005"/>
      <inputCells r="B12" val="0.9"/>
      <inputCells r="B13" val="0.9"/>
    </scenario>
    <scenario name="best-case" locked="1" count="9" user="Andrew Briggs" comment="Created by Andrew Briggs on 05/03/98">
      <inputCells r="B5" val="250"/>
      <inputCells r="B6" val="1500"/>
      <inputCells r="B7" val="800"/>
      <inputCells r="B8" val="0.2"/>
      <inputCells r="B9" val="4000"/>
      <inputCells r="B10" val="0.6" numFmtId="9"/>
      <inputCells r="B11" val="0.015"/>
      <inputCells r="B12" val="1"/>
      <inputCells r="B13" val="0.6"/>
    </scenario>
  </scenarios>
  <phoneticPr fontId="0" type="noConversion"/>
  <pageMargins left="0.75" right="0.75" top="1" bottom="1" header="0.5" footer="0.5"/>
  <pageSetup scale="10" orientation="landscape" r:id="rId1"/>
  <headerFooter alignWithMargins="0"/>
  <rowBreaks count="1" manualBreakCount="1">
    <brk id="42" max="16383" man="1"/>
  </rowBreaks>
  <colBreaks count="1" manualBreakCount="1">
    <brk id="1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obabilisticSA">
                <anchor moveWithCells="1" sizeWithCells="1">
                  <from>
                    <xdr:col>4</xdr:col>
                    <xdr:colOff>323850</xdr:colOff>
                    <xdr:row>0</xdr:row>
                    <xdr:rowOff>190500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90"/>
  <sheetViews>
    <sheetView showFormulas="1" workbookViewId="0"/>
  </sheetViews>
  <sheetFormatPr defaultRowHeight="12.5" x14ac:dyDescent="0.25"/>
  <cols>
    <col min="1" max="1" width="3.1796875" customWidth="1"/>
    <col min="2" max="2" width="4.26953125" customWidth="1"/>
    <col min="3" max="3" width="7.1796875" style="56" hidden="1" customWidth="1"/>
    <col min="4" max="4" width="11.7265625" bestFit="1" customWidth="1"/>
    <col min="5" max="5" width="8.54296875" customWidth="1"/>
    <col min="6" max="6" width="28.1796875" bestFit="1" customWidth="1"/>
    <col min="7" max="7" width="7.1796875" customWidth="1"/>
    <col min="8" max="8" width="31.1796875" bestFit="1" customWidth="1"/>
    <col min="9" max="9" width="7.453125" customWidth="1"/>
    <col min="10" max="10" width="11.81640625" bestFit="1" customWidth="1"/>
    <col min="15" max="15" width="4.7265625" customWidth="1"/>
    <col min="16" max="17" width="12" bestFit="1" customWidth="1"/>
    <col min="19" max="19" width="4.453125" customWidth="1"/>
    <col min="20" max="20" width="4.7265625" customWidth="1"/>
    <col min="24" max="24" width="11.26953125" customWidth="1"/>
    <col min="29" max="29" width="6.7265625" customWidth="1"/>
    <col min="30" max="31" width="12" bestFit="1" customWidth="1"/>
  </cols>
  <sheetData>
    <row r="1" spans="1:32" s="2" customFormat="1" ht="15.5" x14ac:dyDescent="0.35">
      <c r="A1" s="52" t="s">
        <v>134</v>
      </c>
      <c r="C1" s="55"/>
      <c r="K1"/>
      <c r="L1"/>
      <c r="M1"/>
      <c r="N1"/>
      <c r="O1"/>
    </row>
    <row r="3" spans="1:32" ht="13" x14ac:dyDescent="0.3">
      <c r="D3" s="53"/>
      <c r="E3" s="53"/>
      <c r="F3" s="53"/>
      <c r="G3" s="53"/>
      <c r="H3" s="53"/>
      <c r="I3" s="53"/>
      <c r="J3" s="54" t="s">
        <v>135</v>
      </c>
      <c r="K3" s="53"/>
      <c r="L3" s="53"/>
      <c r="M3" s="53"/>
      <c r="N3" s="53"/>
      <c r="O3" s="53"/>
      <c r="P3" s="53"/>
      <c r="Q3" s="53"/>
      <c r="R3" s="53"/>
      <c r="U3" s="53"/>
      <c r="V3" s="53"/>
      <c r="W3" s="53"/>
      <c r="X3" s="54" t="s">
        <v>136</v>
      </c>
      <c r="Y3" s="53"/>
      <c r="Z3" s="53"/>
      <c r="AA3" s="53"/>
      <c r="AB3" s="53"/>
      <c r="AC3" s="53"/>
      <c r="AD3" s="53"/>
      <c r="AE3" s="53"/>
      <c r="AF3" s="53"/>
    </row>
    <row r="4" spans="1:32" ht="13" x14ac:dyDescent="0.3">
      <c r="A4" s="1" t="s">
        <v>33</v>
      </c>
      <c r="B4" s="1" t="s">
        <v>137</v>
      </c>
      <c r="C4" s="57"/>
      <c r="D4" s="1" t="s">
        <v>36</v>
      </c>
      <c r="E4" s="1" t="s">
        <v>138</v>
      </c>
      <c r="F4" s="1" t="s">
        <v>34</v>
      </c>
      <c r="G4" s="1" t="s">
        <v>139</v>
      </c>
      <c r="H4" s="1" t="s">
        <v>35</v>
      </c>
      <c r="I4" s="1" t="s">
        <v>140</v>
      </c>
      <c r="J4" s="1"/>
      <c r="K4" s="1" t="s">
        <v>43</v>
      </c>
      <c r="L4" s="1" t="s">
        <v>46</v>
      </c>
      <c r="M4" s="1" t="s">
        <v>45</v>
      </c>
      <c r="N4" s="1" t="s">
        <v>44</v>
      </c>
      <c r="O4" s="1"/>
      <c r="P4" s="1" t="s">
        <v>47</v>
      </c>
      <c r="Q4" s="1" t="s">
        <v>48</v>
      </c>
      <c r="R4" s="1" t="s">
        <v>49</v>
      </c>
      <c r="S4" s="1"/>
      <c r="T4" s="1"/>
      <c r="U4" s="1" t="s">
        <v>36</v>
      </c>
      <c r="V4" s="1" t="s">
        <v>34</v>
      </c>
      <c r="W4" s="1" t="s">
        <v>35</v>
      </c>
      <c r="X4" s="1"/>
      <c r="Y4" s="1" t="s">
        <v>43</v>
      </c>
      <c r="Z4" s="1" t="s">
        <v>46</v>
      </c>
      <c r="AA4" s="1" t="s">
        <v>45</v>
      </c>
      <c r="AB4" s="1" t="s">
        <v>44</v>
      </c>
      <c r="AC4" s="1"/>
      <c r="AD4" s="1" t="s">
        <v>47</v>
      </c>
      <c r="AE4" s="1" t="s">
        <v>48</v>
      </c>
      <c r="AF4" s="1" t="s">
        <v>49</v>
      </c>
    </row>
    <row r="5" spans="1:32" x14ac:dyDescent="0.25">
      <c r="A5">
        <v>0</v>
      </c>
      <c r="B5" s="47">
        <v>0</v>
      </c>
      <c r="C5" s="58"/>
      <c r="D5" s="51">
        <v>1000</v>
      </c>
      <c r="E5" s="51"/>
      <c r="F5" s="51">
        <v>0</v>
      </c>
      <c r="G5" s="51"/>
      <c r="H5" s="51">
        <v>0</v>
      </c>
      <c r="I5" s="51"/>
      <c r="K5" s="6"/>
      <c r="L5" s="6"/>
      <c r="U5" s="51">
        <v>1000</v>
      </c>
      <c r="V5" s="51">
        <v>0</v>
      </c>
      <c r="W5" s="51">
        <v>0</v>
      </c>
      <c r="Y5" s="6"/>
      <c r="Z5" s="6"/>
    </row>
    <row r="6" spans="1:32" x14ac:dyDescent="0.25">
      <c r="A6">
        <v>1</v>
      </c>
      <c r="B6" s="47">
        <v>1.38E-2</v>
      </c>
      <c r="C6" s="58"/>
      <c r="D6" s="51">
        <f t="shared" ref="D6:D18" si="0">n_cohort-Prog-Death</f>
        <v>990</v>
      </c>
      <c r="E6" s="51">
        <f>D5</f>
        <v>1000</v>
      </c>
      <c r="F6" s="51">
        <f t="shared" ref="F6:F12" si="1">Prog_lag*(1-tpDcm-rDeath)+Asymp_lag*tpProg*ncycle</f>
        <v>10</v>
      </c>
      <c r="G6" s="51">
        <f>F5</f>
        <v>0</v>
      </c>
      <c r="H6" s="51">
        <f>F1</f>
        <v>0</v>
      </c>
      <c r="I6" s="51">
        <f>H5</f>
        <v>0</v>
      </c>
      <c r="K6" s="51">
        <f t="shared" ref="K6:K50" si="2">D6+F6</f>
        <v>1000</v>
      </c>
      <c r="L6" s="51">
        <f t="shared" ref="L6:L50" si="3">D6*uAsymp+F6*uProg</f>
        <v>948</v>
      </c>
      <c r="M6" s="51">
        <f t="shared" ref="M6:M50" si="4">(D6+F6)/((1+oDR)^ncycle)</f>
        <v>943.39622641509425</v>
      </c>
      <c r="N6" s="51">
        <f t="shared" ref="N6:N50" si="5">(D6*uAsymp+F6*uProg)/((1+oDR)^ncycle)</f>
        <v>894.33962264150944</v>
      </c>
      <c r="O6" s="47"/>
      <c r="P6" s="51">
        <f>(D6*cAsymp+'Markov Model'!F6*cProg)/((1+cDR)^ncycle)</f>
        <v>495283.01886792452</v>
      </c>
      <c r="Q6" s="47">
        <f t="shared" ref="Q6:Q50" si="6">(F5*tpDcm*cDeath)/((1+cDR)^(ncycle-1))</f>
        <v>0</v>
      </c>
      <c r="R6" s="51">
        <f t="shared" ref="R6:R50" si="7">P6+Q6</f>
        <v>495283.01886792452</v>
      </c>
      <c r="U6" s="51">
        <f>$D$5-V6-W6</f>
        <v>981.2</v>
      </c>
      <c r="V6" s="51">
        <f t="shared" ref="V6:V50" si="8">V5*(1-tpDcm-rDeath)+U5*tpProg*(1-effect)*ncycle</f>
        <v>5</v>
      </c>
      <c r="W6" s="51">
        <f t="shared" ref="W6:W50" si="9">W5+V5*tpDcm+(U5+V5)*rDeath</f>
        <v>13.799999999999999</v>
      </c>
      <c r="Y6" s="51">
        <f t="shared" ref="Y6:Y50" si="10">U6+V6</f>
        <v>986.2</v>
      </c>
      <c r="Z6" s="51">
        <f t="shared" ref="Z6:Z50" si="11">U6*uAsymp+V6*uProg</f>
        <v>935.89</v>
      </c>
      <c r="AA6" s="51">
        <f t="shared" ref="AA6:AA50" si="12">(U6+V6)/((1+oDR)^ncycle)</f>
        <v>930.37735849056605</v>
      </c>
      <c r="AB6" s="51">
        <f t="shared" ref="AB6:AB50" si="13">(U6*uAsymp+V6*uProg)/((1+oDR)^ncycle)</f>
        <v>882.91509433962256</v>
      </c>
      <c r="AD6" s="51">
        <f>(U6*(cAsymp+cDrug)+'Markov Model'!V6*cProg)/((1+cDR)^ncycle)</f>
        <v>1402641.5094339622</v>
      </c>
      <c r="AE6" s="47">
        <f t="shared" ref="AE6:AE50" si="14">(V5*tpDcm*cDeath)/((1+cDR)^(ncycle-1))</f>
        <v>0</v>
      </c>
      <c r="AF6" s="51">
        <f t="shared" ref="AF6:AF50" si="15">AD6+AE6</f>
        <v>1402641.5094339622</v>
      </c>
    </row>
    <row r="7" spans="1:32" x14ac:dyDescent="0.25">
      <c r="A7">
        <v>2</v>
      </c>
      <c r="B7" s="47">
        <v>1.38E-2</v>
      </c>
      <c r="C7" s="58"/>
      <c r="D7" s="51">
        <f t="shared" si="0"/>
        <v>956.53800000000001</v>
      </c>
      <c r="E7" s="51">
        <f t="shared" ref="E7:E50" si="16">D6</f>
        <v>990</v>
      </c>
      <c r="F7" s="51">
        <f t="shared" si="1"/>
        <v>28.161999999999999</v>
      </c>
      <c r="G7" s="51">
        <f t="shared" ref="G7:G50" si="17">F6</f>
        <v>10</v>
      </c>
      <c r="H7" s="51">
        <f>Death_lag+Prog_lag*tpDcm+(Asymp_lag+Prog_lag)*rDeath</f>
        <v>15.299999999999999</v>
      </c>
      <c r="I7" s="51">
        <f t="shared" ref="I7:I50" si="18">H6</f>
        <v>0</v>
      </c>
      <c r="K7" s="51">
        <f t="shared" si="2"/>
        <v>984.7</v>
      </c>
      <c r="L7" s="51">
        <f t="shared" si="3"/>
        <v>929.83259999999996</v>
      </c>
      <c r="M7" s="51">
        <f t="shared" si="4"/>
        <v>876.37949448202198</v>
      </c>
      <c r="N7" s="51">
        <f t="shared" si="5"/>
        <v>827.54770380918467</v>
      </c>
      <c r="O7" s="47"/>
      <c r="P7" s="51">
        <f>(D7*cAsymp+'Markov Model'!F7*cProg)/((1+cDR)^ncycle)</f>
        <v>500849.94660021353</v>
      </c>
      <c r="Q7" s="47">
        <f t="shared" si="6"/>
        <v>1415.0943396226414</v>
      </c>
      <c r="R7" s="51">
        <f t="shared" si="7"/>
        <v>502265.04093983618</v>
      </c>
      <c r="U7" s="51">
        <f t="shared" ref="U7:U50" si="19">$D$5-V7-W7</f>
        <v>957.84744000000001</v>
      </c>
      <c r="V7" s="51">
        <f t="shared" si="8"/>
        <v>13.993000000000002</v>
      </c>
      <c r="W7" s="51">
        <f t="shared" si="9"/>
        <v>28.159559999999999</v>
      </c>
      <c r="Y7" s="51">
        <f t="shared" si="10"/>
        <v>971.84044000000006</v>
      </c>
      <c r="Z7" s="51">
        <f t="shared" si="11"/>
        <v>920.44981799999994</v>
      </c>
      <c r="AA7" s="51">
        <f t="shared" si="12"/>
        <v>864.93453186187253</v>
      </c>
      <c r="AB7" s="51">
        <f t="shared" si="13"/>
        <v>819.1970612317549</v>
      </c>
      <c r="AD7" s="51">
        <f>(U7*(cAsymp+cDrug)+'Markov Model'!V7*cProg)/((1+cDR)^ncycle)</f>
        <v>1316082.3780704874</v>
      </c>
      <c r="AE7" s="47">
        <f t="shared" si="14"/>
        <v>707.54716981132071</v>
      </c>
      <c r="AF7" s="51">
        <f t="shared" si="15"/>
        <v>1316789.9252402987</v>
      </c>
    </row>
    <row r="8" spans="1:32" x14ac:dyDescent="0.25">
      <c r="A8">
        <v>3</v>
      </c>
      <c r="B8" s="47">
        <v>1.38E-2</v>
      </c>
      <c r="C8" s="58"/>
      <c r="D8" s="51">
        <f t="shared" si="0"/>
        <v>914.64163559999997</v>
      </c>
      <c r="E8" s="51">
        <f t="shared" si="16"/>
        <v>956.53800000000001</v>
      </c>
      <c r="F8" s="51">
        <f t="shared" si="1"/>
        <v>52.245204400000006</v>
      </c>
      <c r="G8" s="51">
        <f t="shared" si="17"/>
        <v>28.161999999999999</v>
      </c>
      <c r="H8" s="51">
        <f>Death_lag+Prog_lag*tpDcm+(Asymp_lag+Prog_lag)*rDeath</f>
        <v>33.113159999999993</v>
      </c>
      <c r="I8" s="51">
        <f t="shared" si="18"/>
        <v>15.299999999999999</v>
      </c>
      <c r="K8" s="51">
        <f t="shared" si="2"/>
        <v>966.88684000000001</v>
      </c>
      <c r="L8" s="51">
        <f t="shared" si="3"/>
        <v>908.09345711999993</v>
      </c>
      <c r="M8" s="51">
        <f t="shared" si="4"/>
        <v>811.81683537416779</v>
      </c>
      <c r="N8" s="51">
        <f t="shared" si="5"/>
        <v>762.4527773934185</v>
      </c>
      <c r="O8" s="47"/>
      <c r="P8" s="51">
        <f>(D8*cAsymp+'Markov Model'!F8*cProg)/((1+cDR)^ncycle)</f>
        <v>515573.62033759395</v>
      </c>
      <c r="Q8" s="47">
        <f t="shared" si="6"/>
        <v>3759.6119615521525</v>
      </c>
      <c r="R8" s="51">
        <f t="shared" si="7"/>
        <v>519333.23229914613</v>
      </c>
      <c r="U8" s="51">
        <f t="shared" si="19"/>
        <v>930.26143372800004</v>
      </c>
      <c r="V8" s="51">
        <f t="shared" si="8"/>
        <v>26.068658200000002</v>
      </c>
      <c r="W8" s="51">
        <f t="shared" si="9"/>
        <v>43.669908071999998</v>
      </c>
      <c r="Y8" s="51">
        <f t="shared" si="10"/>
        <v>956.330091928</v>
      </c>
      <c r="Z8" s="51">
        <f t="shared" si="11"/>
        <v>903.29985569159999</v>
      </c>
      <c r="AA8" s="51">
        <f t="shared" si="12"/>
        <v>802.95318612680251</v>
      </c>
      <c r="AB8" s="51">
        <f t="shared" si="13"/>
        <v>758.42797719896271</v>
      </c>
      <c r="AD8" s="51">
        <f>(U8*(cAsymp+cDrug)+'Markov Model'!V8*cProg)/((1+cDR)^ncycle)</f>
        <v>1237261.4013514509</v>
      </c>
      <c r="AE8" s="47">
        <f t="shared" si="14"/>
        <v>1868.0580277678889</v>
      </c>
      <c r="AF8" s="51">
        <f t="shared" si="15"/>
        <v>1239129.4593792188</v>
      </c>
    </row>
    <row r="9" spans="1:32" x14ac:dyDescent="0.25">
      <c r="A9">
        <v>4</v>
      </c>
      <c r="B9" s="47">
        <v>1.38E-2</v>
      </c>
      <c r="C9" s="58"/>
      <c r="D9" s="51">
        <f t="shared" si="0"/>
        <v>865.43391560472003</v>
      </c>
      <c r="E9" s="51">
        <f t="shared" si="16"/>
        <v>914.64163559999997</v>
      </c>
      <c r="F9" s="51">
        <f t="shared" si="1"/>
        <v>80.273105343280008</v>
      </c>
      <c r="G9" s="51">
        <f t="shared" si="17"/>
        <v>52.245204400000006</v>
      </c>
      <c r="H9" s="51">
        <f t="shared" ref="H9:H50" si="20">H8+F8*tpDcm+(D8+F8)*rDeath</f>
        <v>54.292979051999993</v>
      </c>
      <c r="I9" s="51">
        <f t="shared" si="18"/>
        <v>33.113159999999993</v>
      </c>
      <c r="K9" s="51">
        <f t="shared" si="2"/>
        <v>945.70702094800004</v>
      </c>
      <c r="L9" s="51">
        <f t="shared" si="3"/>
        <v>882.36704883194398</v>
      </c>
      <c r="M9" s="51">
        <f t="shared" si="4"/>
        <v>749.0885385726167</v>
      </c>
      <c r="N9" s="51">
        <f t="shared" si="5"/>
        <v>698.91734802981568</v>
      </c>
      <c r="O9" s="47"/>
      <c r="P9" s="51">
        <f>(D9*cAsymp+'Markov Model'!F9*cProg)/((1+cDR)^ncycle)</f>
        <v>533503.81446343381</v>
      </c>
      <c r="Q9" s="47">
        <f t="shared" si="6"/>
        <v>6579.9121590306077</v>
      </c>
      <c r="R9" s="51">
        <f t="shared" si="7"/>
        <v>540083.72662246437</v>
      </c>
      <c r="U9" s="51">
        <f t="shared" si="19"/>
        <v>898.8185972679936</v>
      </c>
      <c r="V9" s="51">
        <f t="shared" si="8"/>
        <v>40.403840661400004</v>
      </c>
      <c r="W9" s="51">
        <f t="shared" si="9"/>
        <v>60.7775620706064</v>
      </c>
      <c r="Y9" s="51">
        <f t="shared" si="10"/>
        <v>939.22243792939355</v>
      </c>
      <c r="Z9" s="51">
        <f t="shared" si="11"/>
        <v>884.18054790064389</v>
      </c>
      <c r="AA9" s="51">
        <f t="shared" si="12"/>
        <v>743.9521414548376</v>
      </c>
      <c r="AB9" s="51">
        <f t="shared" si="13"/>
        <v>700.35380915042094</v>
      </c>
      <c r="AD9" s="51">
        <f>(U9*(cAsymp+cDrug)+'Markov Model'!V9*cProg)/((1+cDR)^ncycle)</f>
        <v>1163933.6514198168</v>
      </c>
      <c r="AE9" s="47">
        <f t="shared" si="14"/>
        <v>3283.1622161247196</v>
      </c>
      <c r="AF9" s="51">
        <f t="shared" si="15"/>
        <v>1167216.8136359416</v>
      </c>
    </row>
    <row r="10" spans="1:32" x14ac:dyDescent="0.25">
      <c r="A10">
        <v>5</v>
      </c>
      <c r="B10" s="47">
        <v>1.38E-2</v>
      </c>
      <c r="C10" s="58"/>
      <c r="D10" s="51">
        <f t="shared" si="0"/>
        <v>810.2192317891388</v>
      </c>
      <c r="E10" s="51">
        <f t="shared" si="16"/>
        <v>865.43391560472003</v>
      </c>
      <c r="F10" s="51">
        <f t="shared" si="1"/>
        <v>110.39606646828673</v>
      </c>
      <c r="G10" s="51">
        <f t="shared" si="17"/>
        <v>80.273105343280008</v>
      </c>
      <c r="H10" s="51">
        <f t="shared" si="20"/>
        <v>79.384701742574407</v>
      </c>
      <c r="I10" s="51">
        <f t="shared" si="18"/>
        <v>54.292979051999993</v>
      </c>
      <c r="K10" s="51">
        <f t="shared" si="2"/>
        <v>920.61529825742559</v>
      </c>
      <c r="L10" s="51">
        <f t="shared" si="3"/>
        <v>852.5053200508969</v>
      </c>
      <c r="M10" s="51">
        <f t="shared" si="4"/>
        <v>687.93730568838384</v>
      </c>
      <c r="N10" s="51">
        <f t="shared" si="5"/>
        <v>637.04156781982624</v>
      </c>
      <c r="O10" s="47"/>
      <c r="P10" s="51">
        <f>(D10*cAsymp+'Markov Model'!F10*cProg)/((1+cDR)^ncycle)</f>
        <v>550204.56014592119</v>
      </c>
      <c r="Q10" s="47">
        <f t="shared" si="6"/>
        <v>9537.5727106275262</v>
      </c>
      <c r="R10" s="51">
        <f t="shared" si="7"/>
        <v>559742.13285654876</v>
      </c>
      <c r="U10" s="51">
        <f t="shared" si="19"/>
        <v>863.94443569399539</v>
      </c>
      <c r="V10" s="51">
        <f t="shared" si="8"/>
        <v>56.256156492762528</v>
      </c>
      <c r="W10" s="51">
        <f t="shared" si="9"/>
        <v>79.799407813242027</v>
      </c>
      <c r="Y10" s="51">
        <f t="shared" si="10"/>
        <v>920.20059218675794</v>
      </c>
      <c r="Z10" s="51">
        <f t="shared" si="11"/>
        <v>862.93933127886748</v>
      </c>
      <c r="AA10" s="51">
        <f t="shared" si="12"/>
        <v>687.62741318774033</v>
      </c>
      <c r="AB10" s="51">
        <f t="shared" si="13"/>
        <v>644.83846798570346</v>
      </c>
      <c r="AD10" s="51">
        <f>(U10*(cAsymp+cDrug)+'Markov Model'!V10*cProg)/((1+cDR)^ncycle)</f>
        <v>1094497.9288514834</v>
      </c>
      <c r="AE10" s="47">
        <f t="shared" si="14"/>
        <v>4800.5439237560413</v>
      </c>
      <c r="AF10" s="51">
        <f t="shared" si="15"/>
        <v>1099298.4727752395</v>
      </c>
    </row>
    <row r="11" spans="1:32" x14ac:dyDescent="0.25">
      <c r="A11">
        <v>6</v>
      </c>
      <c r="B11" s="47">
        <v>1.38E-2</v>
      </c>
      <c r="C11" s="58"/>
      <c r="D11" s="51">
        <f t="shared" si="0"/>
        <v>750.42505248310044</v>
      </c>
      <c r="E11" s="51">
        <f t="shared" si="16"/>
        <v>810.2192317891388</v>
      </c>
      <c r="F11" s="51">
        <f t="shared" si="1"/>
        <v>140.92634468812969</v>
      </c>
      <c r="G11" s="51">
        <f t="shared" si="17"/>
        <v>110.39606646828673</v>
      </c>
      <c r="H11" s="51">
        <f t="shared" si="20"/>
        <v>108.6486028287699</v>
      </c>
      <c r="I11" s="51">
        <f t="shared" si="18"/>
        <v>79.384701742574407</v>
      </c>
      <c r="K11" s="51">
        <f t="shared" si="2"/>
        <v>891.35139717123013</v>
      </c>
      <c r="L11" s="51">
        <f t="shared" si="3"/>
        <v>818.59855837504267</v>
      </c>
      <c r="M11" s="51">
        <f t="shared" si="4"/>
        <v>628.36756267149099</v>
      </c>
      <c r="N11" s="51">
        <f t="shared" si="5"/>
        <v>577.07968211520995</v>
      </c>
      <c r="O11" s="47"/>
      <c r="P11" s="51">
        <f>(D11*cAsymp+'Markov Model'!F11*cProg)/((1+cDR)^ncycle)</f>
        <v>562552.56161957548</v>
      </c>
      <c r="Q11" s="47">
        <f t="shared" si="6"/>
        <v>12374.154438103757</v>
      </c>
      <c r="R11" s="51">
        <f t="shared" si="7"/>
        <v>574926.71605767927</v>
      </c>
      <c r="U11" s="51">
        <f t="shared" si="19"/>
        <v>826.1036694105984</v>
      </c>
      <c r="V11" s="51">
        <f t="shared" si="8"/>
        <v>72.959731130067894</v>
      </c>
      <c r="W11" s="51">
        <f t="shared" si="9"/>
        <v>100.93659945933368</v>
      </c>
      <c r="Y11" s="51">
        <f t="shared" si="10"/>
        <v>899.06340054066629</v>
      </c>
      <c r="Z11" s="51">
        <f t="shared" si="11"/>
        <v>839.51828428761928</v>
      </c>
      <c r="AA11" s="51">
        <f t="shared" si="12"/>
        <v>633.80422073468128</v>
      </c>
      <c r="AB11" s="51">
        <f t="shared" si="13"/>
        <v>591.82726340038994</v>
      </c>
      <c r="AD11" s="51">
        <f>(U11*(cAsymp+cDrug)+'Markov Model'!V11*cProg)/((1+cDR)^ncycle)</f>
        <v>1027856.9283337011</v>
      </c>
      <c r="AE11" s="47">
        <f t="shared" si="14"/>
        <v>6305.6809069873025</v>
      </c>
      <c r="AF11" s="51">
        <f t="shared" si="15"/>
        <v>1034162.6092406884</v>
      </c>
    </row>
    <row r="12" spans="1:32" x14ac:dyDescent="0.25">
      <c r="A12">
        <v>7</v>
      </c>
      <c r="B12" s="47">
        <v>1.38E-2</v>
      </c>
      <c r="C12" s="58"/>
      <c r="D12" s="51">
        <f t="shared" si="0"/>
        <v>687.53943308501664</v>
      </c>
      <c r="E12" s="51">
        <f t="shared" si="16"/>
        <v>750.42505248310044</v>
      </c>
      <c r="F12" s="51">
        <f t="shared" si="1"/>
        <v>170.37236310203104</v>
      </c>
      <c r="G12" s="51">
        <f t="shared" si="17"/>
        <v>140.92634468812969</v>
      </c>
      <c r="H12" s="51">
        <f t="shared" si="20"/>
        <v>142.08820381295232</v>
      </c>
      <c r="I12" s="51">
        <f t="shared" si="18"/>
        <v>108.6486028287699</v>
      </c>
      <c r="K12" s="51">
        <f t="shared" si="2"/>
        <v>857.91179618704768</v>
      </c>
      <c r="L12" s="51">
        <f t="shared" si="3"/>
        <v>780.94173375728906</v>
      </c>
      <c r="M12" s="51">
        <f t="shared" si="4"/>
        <v>570.56034291471178</v>
      </c>
      <c r="N12" s="51">
        <f t="shared" si="5"/>
        <v>519.37085535984545</v>
      </c>
      <c r="O12" s="47"/>
      <c r="P12" s="51">
        <f>(D12*cAsymp+'Markov Model'!F12*cProg)/((1+cDR)^ncycle)</f>
        <v>568548.55157148931</v>
      </c>
      <c r="Q12" s="47">
        <f t="shared" si="6"/>
        <v>14902.126817029801</v>
      </c>
      <c r="R12" s="51">
        <f t="shared" si="7"/>
        <v>583450.6783885191</v>
      </c>
      <c r="U12" s="51">
        <f t="shared" si="19"/>
        <v>785.7898103433613</v>
      </c>
      <c r="V12" s="51">
        <f t="shared" si="8"/>
        <v>89.922555600333709</v>
      </c>
      <c r="W12" s="51">
        <f t="shared" si="9"/>
        <v>124.28763405630505</v>
      </c>
      <c r="Y12" s="51">
        <f t="shared" si="10"/>
        <v>875.71236594369498</v>
      </c>
      <c r="Z12" s="51">
        <f t="shared" si="11"/>
        <v>813.94223652644348</v>
      </c>
      <c r="AA12" s="51">
        <f t="shared" si="12"/>
        <v>582.39873845790066</v>
      </c>
      <c r="AB12" s="51">
        <f t="shared" si="13"/>
        <v>541.31807447958522</v>
      </c>
      <c r="AD12" s="51">
        <f>(U12*(cAsymp+cDrug)+'Markov Model'!V12*cProg)/((1+cDR)^ncycle)</f>
        <v>963303.56060250395</v>
      </c>
      <c r="AE12" s="47">
        <f t="shared" si="14"/>
        <v>7715.0597231679203</v>
      </c>
      <c r="AF12" s="51">
        <f t="shared" si="15"/>
        <v>971018.62032567186</v>
      </c>
    </row>
    <row r="13" spans="1:32" x14ac:dyDescent="0.25">
      <c r="A13">
        <v>8</v>
      </c>
      <c r="B13" s="47">
        <v>1.38E-2</v>
      </c>
      <c r="C13" s="58"/>
      <c r="D13" s="51">
        <f t="shared" si="0"/>
        <v>623.04823426164205</v>
      </c>
      <c r="E13" s="51">
        <f t="shared" si="16"/>
        <v>687.53943308501664</v>
      </c>
      <c r="F13" s="51">
        <f t="shared" ref="F13:F50" si="21">F12*(1-tpDcm-rDeath)+D12*tpProg*ncycle</f>
        <v>197.4685246727197</v>
      </c>
      <c r="G13" s="51">
        <f t="shared" si="17"/>
        <v>170.37236310203104</v>
      </c>
      <c r="H13" s="51">
        <f t="shared" si="20"/>
        <v>179.48324106563823</v>
      </c>
      <c r="I13" s="51">
        <f t="shared" si="18"/>
        <v>142.08820381295232</v>
      </c>
      <c r="K13" s="51">
        <f t="shared" si="2"/>
        <v>820.51675893436175</v>
      </c>
      <c r="L13" s="51">
        <f t="shared" si="3"/>
        <v>739.99721605309969</v>
      </c>
      <c r="M13" s="51">
        <f t="shared" si="4"/>
        <v>514.80236544871775</v>
      </c>
      <c r="N13" s="51">
        <f t="shared" si="5"/>
        <v>464.2834081102252</v>
      </c>
      <c r="O13" s="47"/>
      <c r="P13" s="51">
        <f>(D13*cAsymp+'Markov Model'!F13*cProg)/((1+cDR)^ncycle)</f>
        <v>567136.67105006636</v>
      </c>
      <c r="Q13" s="47">
        <f t="shared" si="6"/>
        <v>16996.102806848001</v>
      </c>
      <c r="R13" s="51">
        <f t="shared" si="7"/>
        <v>584132.77385691437</v>
      </c>
      <c r="U13" s="51">
        <f t="shared" si="19"/>
        <v>743.51431854688838</v>
      </c>
      <c r="V13" s="51">
        <f t="shared" si="8"/>
        <v>106.62483340673349</v>
      </c>
      <c r="W13" s="51">
        <f t="shared" si="9"/>
        <v>149.86084804637809</v>
      </c>
      <c r="Y13" s="51">
        <f t="shared" si="10"/>
        <v>850.13915195362188</v>
      </c>
      <c r="Z13" s="51">
        <f t="shared" si="11"/>
        <v>786.30722767459406</v>
      </c>
      <c r="AA13" s="51">
        <f t="shared" si="12"/>
        <v>533.38782129775132</v>
      </c>
      <c r="AB13" s="51">
        <f t="shared" si="13"/>
        <v>493.3388823185345</v>
      </c>
      <c r="AD13" s="51">
        <f>(U13*(cAsymp+cDrug)+'Markov Model'!V13*cProg)/((1+cDR)^ncycle)</f>
        <v>900428.34130409581</v>
      </c>
      <c r="AE13" s="47">
        <f t="shared" si="14"/>
        <v>8970.545291565295</v>
      </c>
      <c r="AF13" s="51">
        <f t="shared" si="15"/>
        <v>909398.88659566105</v>
      </c>
    </row>
    <row r="14" spans="1:32" x14ac:dyDescent="0.25">
      <c r="A14">
        <v>9</v>
      </c>
      <c r="B14" s="47">
        <v>1.38E-2</v>
      </c>
      <c r="C14" s="58"/>
      <c r="D14" s="51">
        <f t="shared" si="0"/>
        <v>558.37582754528364</v>
      </c>
      <c r="E14" s="51">
        <f t="shared" si="16"/>
        <v>623.04823426164205</v>
      </c>
      <c r="F14" s="51">
        <f t="shared" si="21"/>
        <v>221.19752141487598</v>
      </c>
      <c r="G14" s="51">
        <f t="shared" si="17"/>
        <v>197.4685246727197</v>
      </c>
      <c r="H14" s="51">
        <f t="shared" si="20"/>
        <v>220.42665103984038</v>
      </c>
      <c r="I14" s="51">
        <f t="shared" si="18"/>
        <v>179.48324106563823</v>
      </c>
      <c r="K14" s="51">
        <f t="shared" si="2"/>
        <v>779.57334896015959</v>
      </c>
      <c r="L14" s="51">
        <f t="shared" si="3"/>
        <v>696.35517722917643</v>
      </c>
      <c r="M14" s="51">
        <f t="shared" si="4"/>
        <v>461.42826745847447</v>
      </c>
      <c r="N14" s="51">
        <f t="shared" si="5"/>
        <v>412.17155947312779</v>
      </c>
      <c r="O14" s="47"/>
      <c r="P14" s="51">
        <f>(D14*cAsymp+'Markov Model'!F14*cProg)/((1+cDR)^ncycle)</f>
        <v>558030.31638452446</v>
      </c>
      <c r="Q14" s="47">
        <f t="shared" si="6"/>
        <v>18584.129299542452</v>
      </c>
      <c r="R14" s="51">
        <f t="shared" si="7"/>
        <v>576614.44568406686</v>
      </c>
      <c r="U14" s="51">
        <f t="shared" si="19"/>
        <v>699.79567661633132</v>
      </c>
      <c r="V14" s="51">
        <f t="shared" si="8"/>
        <v>122.61783002932052</v>
      </c>
      <c r="W14" s="51">
        <f t="shared" si="9"/>
        <v>177.58649335434808</v>
      </c>
      <c r="Y14" s="51">
        <f t="shared" si="10"/>
        <v>822.41350664565186</v>
      </c>
      <c r="Z14" s="51">
        <f t="shared" si="11"/>
        <v>756.76926530750507</v>
      </c>
      <c r="AA14" s="51">
        <f t="shared" si="12"/>
        <v>486.78529096990133</v>
      </c>
      <c r="AB14" s="51">
        <f t="shared" si="13"/>
        <v>447.93056538225812</v>
      </c>
      <c r="AD14" s="51">
        <f>(U14*(cAsymp+cDrug)+'Markov Model'!V14*cProg)/((1+cDR)^ncycle)</f>
        <v>839043.89424846275</v>
      </c>
      <c r="AE14" s="47">
        <f t="shared" si="14"/>
        <v>10034.660935746879</v>
      </c>
      <c r="AF14" s="51">
        <f t="shared" si="15"/>
        <v>849078.5551842096</v>
      </c>
    </row>
    <row r="15" spans="1:32" x14ac:dyDescent="0.25">
      <c r="A15">
        <v>10</v>
      </c>
      <c r="B15" s="47">
        <v>1.38E-2</v>
      </c>
      <c r="C15" s="58"/>
      <c r="D15" s="51">
        <f t="shared" si="0"/>
        <v>494.83265837063033</v>
      </c>
      <c r="E15" s="51">
        <f t="shared" si="16"/>
        <v>558.37582754528364</v>
      </c>
      <c r="F15" s="51">
        <f t="shared" si="21"/>
        <v>240.80295016164766</v>
      </c>
      <c r="G15" s="51">
        <f t="shared" si="17"/>
        <v>221.19752141487598</v>
      </c>
      <c r="H15" s="51">
        <f t="shared" si="20"/>
        <v>264.36439146772199</v>
      </c>
      <c r="I15" s="51">
        <f t="shared" si="18"/>
        <v>220.42665103984038</v>
      </c>
      <c r="K15" s="51">
        <f t="shared" si="2"/>
        <v>735.63560853227796</v>
      </c>
      <c r="L15" s="51">
        <f t="shared" si="3"/>
        <v>650.69323807333456</v>
      </c>
      <c r="M15" s="51">
        <f t="shared" si="4"/>
        <v>410.77508151719832</v>
      </c>
      <c r="N15" s="51">
        <f t="shared" si="5"/>
        <v>363.34370551413531</v>
      </c>
      <c r="O15" s="47"/>
      <c r="P15" s="51">
        <f>(D15*cAsymp+'Markov Model'!F15*cProg)/((1+cDR)^ncycle)</f>
        <v>541545.31484863791</v>
      </c>
      <c r="Q15" s="47">
        <f t="shared" si="6"/>
        <v>19638.970959317234</v>
      </c>
      <c r="R15" s="51">
        <f t="shared" si="7"/>
        <v>561184.2858079552</v>
      </c>
      <c r="U15" s="51">
        <f t="shared" si="19"/>
        <v>655.14871244820938</v>
      </c>
      <c r="V15" s="51">
        <f t="shared" si="8"/>
        <v>137.52281330133437</v>
      </c>
      <c r="W15" s="51">
        <f t="shared" si="9"/>
        <v>207.32847425045617</v>
      </c>
      <c r="Y15" s="51">
        <f t="shared" si="10"/>
        <v>792.67152574954378</v>
      </c>
      <c r="Z15" s="51">
        <f t="shared" si="11"/>
        <v>725.53338680179968</v>
      </c>
      <c r="AA15" s="51">
        <f t="shared" si="12"/>
        <v>442.62363978788261</v>
      </c>
      <c r="AB15" s="51">
        <f t="shared" si="13"/>
        <v>405.13405366766085</v>
      </c>
      <c r="AD15" s="51">
        <f>(U15*(cAsymp+cDrug)+'Markov Model'!V15*cProg)/((1+cDR)^ncycle)</f>
        <v>779123.49066303088</v>
      </c>
      <c r="AE15" s="47">
        <f t="shared" si="14"/>
        <v>10886.595779361087</v>
      </c>
      <c r="AF15" s="51">
        <f t="shared" si="15"/>
        <v>790010.08644239197</v>
      </c>
    </row>
    <row r="16" spans="1:32" x14ac:dyDescent="0.25">
      <c r="A16">
        <v>11</v>
      </c>
      <c r="B16" s="47">
        <v>3.7900000000000003E-2</v>
      </c>
      <c r="C16" s="58"/>
      <c r="D16" s="51">
        <f t="shared" si="0"/>
        <v>421.6469081976141</v>
      </c>
      <c r="E16" s="51">
        <f t="shared" si="16"/>
        <v>494.83265837063033</v>
      </c>
      <c r="F16" s="51">
        <f t="shared" si="21"/>
        <v>249.98766824704339</v>
      </c>
      <c r="G16" s="51">
        <f t="shared" si="17"/>
        <v>240.80295016164766</v>
      </c>
      <c r="H16" s="51">
        <f t="shared" si="20"/>
        <v>328.36542355534249</v>
      </c>
      <c r="I16" s="51">
        <f t="shared" si="18"/>
        <v>264.36439146772199</v>
      </c>
      <c r="K16" s="51">
        <f t="shared" si="2"/>
        <v>671.63457644465745</v>
      </c>
      <c r="L16" s="51">
        <f t="shared" si="3"/>
        <v>588.05531397301593</v>
      </c>
      <c r="M16" s="51">
        <f t="shared" si="4"/>
        <v>353.8087164927303</v>
      </c>
      <c r="N16" s="51">
        <f t="shared" si="5"/>
        <v>309.78020364123751</v>
      </c>
      <c r="O16" s="47"/>
      <c r="P16" s="51">
        <f>(D16*cAsymp+'Markov Model'!F16*cProg)/((1+cDR)^ncycle)</f>
        <v>506130.32108206861</v>
      </c>
      <c r="Q16" s="47">
        <f t="shared" si="6"/>
        <v>20169.466445402322</v>
      </c>
      <c r="R16" s="51">
        <f t="shared" si="7"/>
        <v>526299.78752747097</v>
      </c>
      <c r="U16" s="51">
        <f t="shared" si="19"/>
        <v>594.28539706177082</v>
      </c>
      <c r="V16" s="51">
        <f t="shared" si="8"/>
        <v>147.71545586666514</v>
      </c>
      <c r="W16" s="51">
        <f t="shared" si="9"/>
        <v>257.99914707156404</v>
      </c>
      <c r="Y16" s="51">
        <f t="shared" si="10"/>
        <v>742.00085292843596</v>
      </c>
      <c r="Z16" s="51">
        <f t="shared" si="11"/>
        <v>675.35771910868107</v>
      </c>
      <c r="AA16" s="51">
        <f t="shared" si="12"/>
        <v>390.87679315264256</v>
      </c>
      <c r="AB16" s="51">
        <f t="shared" si="13"/>
        <v>355.77002160339129</v>
      </c>
      <c r="AD16" s="51">
        <f>(U16*(cAsymp+cDrug)+'Markov Model'!V16*cProg)/((1+cDR)^ncycle)</f>
        <v>703037.1789161074</v>
      </c>
      <c r="AE16" s="47">
        <f t="shared" si="14"/>
        <v>11518.803098120699</v>
      </c>
      <c r="AF16" s="51">
        <f t="shared" si="15"/>
        <v>714555.98201422812</v>
      </c>
    </row>
    <row r="17" spans="1:32" x14ac:dyDescent="0.25">
      <c r="A17">
        <v>12</v>
      </c>
      <c r="B17" s="47">
        <v>3.7900000000000003E-2</v>
      </c>
      <c r="C17" s="58"/>
      <c r="D17" s="51">
        <f t="shared" si="0"/>
        <v>355.0688613932108</v>
      </c>
      <c r="E17" s="51">
        <f t="shared" si="16"/>
        <v>421.6469081976141</v>
      </c>
      <c r="F17" s="51">
        <f t="shared" si="21"/>
        <v>253.61261436713761</v>
      </c>
      <c r="G17" s="51">
        <f t="shared" si="17"/>
        <v>249.98766824704339</v>
      </c>
      <c r="H17" s="51">
        <f t="shared" si="20"/>
        <v>391.31852423965154</v>
      </c>
      <c r="I17" s="51">
        <f t="shared" si="18"/>
        <v>328.36542355534249</v>
      </c>
      <c r="K17" s="51">
        <f t="shared" si="2"/>
        <v>608.68147576034835</v>
      </c>
      <c r="L17" s="51">
        <f t="shared" si="3"/>
        <v>527.52487909890351</v>
      </c>
      <c r="M17" s="51">
        <f t="shared" si="4"/>
        <v>302.49604562972979</v>
      </c>
      <c r="N17" s="51">
        <f t="shared" si="5"/>
        <v>262.16370343681621</v>
      </c>
      <c r="O17" s="47"/>
      <c r="P17" s="51">
        <f>(D17*cAsymp+'Markov Model'!F17*cProg)/((1+cDR)^ncycle)</f>
        <v>466342.271707704</v>
      </c>
      <c r="Q17" s="47">
        <f t="shared" si="6"/>
        <v>19753.557770142208</v>
      </c>
      <c r="R17" s="51">
        <f t="shared" si="7"/>
        <v>486095.82947784622</v>
      </c>
      <c r="U17" s="51">
        <f t="shared" si="19"/>
        <v>536.10485668942351</v>
      </c>
      <c r="V17" s="51">
        <f t="shared" si="8"/>
        <v>155.61684553302499</v>
      </c>
      <c r="W17" s="51">
        <f t="shared" si="9"/>
        <v>308.27829777755153</v>
      </c>
      <c r="Y17" s="51">
        <f t="shared" si="10"/>
        <v>691.72170222244847</v>
      </c>
      <c r="Z17" s="51">
        <f t="shared" si="11"/>
        <v>626.01224800472107</v>
      </c>
      <c r="AA17" s="51">
        <f t="shared" si="12"/>
        <v>343.76449412588966</v>
      </c>
      <c r="AB17" s="51">
        <f t="shared" si="13"/>
        <v>311.10890848231361</v>
      </c>
      <c r="AD17" s="51">
        <f>(U17*(cAsymp+cDrug)+'Markov Model'!V17*cProg)/((1+cDR)^ncycle)</f>
        <v>631651.94821844622</v>
      </c>
      <c r="AE17" s="47">
        <f t="shared" si="14"/>
        <v>11672.198918714348</v>
      </c>
      <c r="AF17" s="51">
        <f t="shared" si="15"/>
        <v>643324.14713716053</v>
      </c>
    </row>
    <row r="18" spans="1:32" x14ac:dyDescent="0.25">
      <c r="A18">
        <v>13</v>
      </c>
      <c r="B18" s="47">
        <v>3.7900000000000003E-2</v>
      </c>
      <c r="C18" s="58"/>
      <c r="D18" s="51">
        <f t="shared" si="0"/>
        <v>295.45279956529083</v>
      </c>
      <c r="E18" s="51">
        <f t="shared" si="16"/>
        <v>355.0688613932108</v>
      </c>
      <c r="F18" s="51">
        <f t="shared" si="21"/>
        <v>252.11775610866985</v>
      </c>
      <c r="G18" s="51">
        <f t="shared" si="17"/>
        <v>253.61261436713761</v>
      </c>
      <c r="H18" s="51">
        <f t="shared" si="20"/>
        <v>452.42944432603935</v>
      </c>
      <c r="I18" s="51">
        <f t="shared" si="18"/>
        <v>391.31852423965154</v>
      </c>
      <c r="K18" s="51">
        <f t="shared" si="2"/>
        <v>547.57055567396071</v>
      </c>
      <c r="L18" s="51">
        <f t="shared" si="3"/>
        <v>469.76847666852865</v>
      </c>
      <c r="M18" s="51">
        <f t="shared" si="4"/>
        <v>256.72244393093655</v>
      </c>
      <c r="N18" s="51">
        <f t="shared" si="5"/>
        <v>220.24579328159967</v>
      </c>
      <c r="O18" s="47"/>
      <c r="P18" s="51">
        <f>(D18*cAsymp+'Markov Model'!F18*cProg)/((1+cDR)^ncycle)</f>
        <v>423867.8276253434</v>
      </c>
      <c r="Q18" s="47">
        <f t="shared" si="6"/>
        <v>18905.654933570346</v>
      </c>
      <c r="R18" s="51">
        <f t="shared" si="7"/>
        <v>442773.48255891376</v>
      </c>
      <c r="U18" s="51">
        <f t="shared" si="19"/>
        <v>480.93966693608189</v>
      </c>
      <c r="V18" s="51">
        <f t="shared" si="8"/>
        <v>161.22325594218211</v>
      </c>
      <c r="W18" s="51">
        <f t="shared" si="9"/>
        <v>357.83707712173606</v>
      </c>
      <c r="Y18" s="51">
        <f t="shared" si="10"/>
        <v>642.162922878264</v>
      </c>
      <c r="Z18" s="51">
        <f t="shared" si="11"/>
        <v>577.81012554591439</v>
      </c>
      <c r="AA18" s="51">
        <f t="shared" si="12"/>
        <v>301.07103688260122</v>
      </c>
      <c r="AB18" s="51">
        <f t="shared" si="13"/>
        <v>270.89993430273569</v>
      </c>
      <c r="AD18" s="51">
        <f>(U18*(cAsymp+cDrug)+'Markov Model'!V18*cProg)/((1+cDR)^ncycle)</f>
        <v>564988.18584191799</v>
      </c>
      <c r="AE18" s="47">
        <f t="shared" si="14"/>
        <v>11600.520702961174</v>
      </c>
      <c r="AF18" s="51">
        <f t="shared" si="15"/>
        <v>576588.70654487913</v>
      </c>
    </row>
    <row r="19" spans="1:32" x14ac:dyDescent="0.25">
      <c r="A19">
        <v>14</v>
      </c>
      <c r="B19" s="47">
        <v>3.7900000000000003E-2</v>
      </c>
      <c r="C19" s="58"/>
      <c r="D19" s="51">
        <f t="shared" ref="D19:D50" si="22">$D$5-F19-H19</f>
        <v>242.89174652262557</v>
      </c>
      <c r="E19" s="51">
        <f t="shared" si="16"/>
        <v>295.45279956529083</v>
      </c>
      <c r="F19" s="51">
        <f t="shared" si="21"/>
        <v>246.10822167499148</v>
      </c>
      <c r="G19" s="51">
        <f t="shared" si="17"/>
        <v>252.11775610866985</v>
      </c>
      <c r="H19" s="51">
        <f t="shared" si="20"/>
        <v>511.00003180238298</v>
      </c>
      <c r="I19" s="51">
        <f t="shared" si="18"/>
        <v>452.42944432603935</v>
      </c>
      <c r="K19" s="51">
        <f t="shared" si="2"/>
        <v>488.99996819761702</v>
      </c>
      <c r="L19" s="51">
        <f t="shared" si="3"/>
        <v>415.32832545273789</v>
      </c>
      <c r="M19" s="51">
        <f t="shared" si="4"/>
        <v>216.2851575154354</v>
      </c>
      <c r="N19" s="51">
        <f t="shared" si="5"/>
        <v>183.70011888194063</v>
      </c>
      <c r="O19" s="47"/>
      <c r="P19" s="51">
        <f>(D19*cAsymp+'Markov Model'!F19*cProg)/((1+cDR)^ncycle)</f>
        <v>380277.33822925534</v>
      </c>
      <c r="Q19" s="47">
        <f t="shared" si="6"/>
        <v>17730.396339592509</v>
      </c>
      <c r="R19" s="51">
        <f t="shared" si="7"/>
        <v>398007.73456884787</v>
      </c>
      <c r="U19" s="51">
        <f t="shared" si="19"/>
        <v>429.04627687367855</v>
      </c>
      <c r="V19" s="51">
        <f t="shared" si="8"/>
        <v>164.59518283617183</v>
      </c>
      <c r="W19" s="51">
        <f t="shared" si="9"/>
        <v>406.35854029014962</v>
      </c>
      <c r="Y19" s="51">
        <f t="shared" si="10"/>
        <v>593.64145970985032</v>
      </c>
      <c r="Z19" s="51">
        <f t="shared" si="11"/>
        <v>531.0403501571235</v>
      </c>
      <c r="AA19" s="51">
        <f t="shared" si="12"/>
        <v>262.56819012542354</v>
      </c>
      <c r="AB19" s="51">
        <f t="shared" si="13"/>
        <v>234.87965899901491</v>
      </c>
      <c r="AD19" s="51">
        <f>(U19*(cAsymp+cDrug)+'Markov Model'!V19*cProg)/((1+cDR)^ncycle)</f>
        <v>503053.19733916636</v>
      </c>
      <c r="AE19" s="47">
        <f t="shared" si="14"/>
        <v>11338.163051801617</v>
      </c>
      <c r="AF19" s="51">
        <f t="shared" si="15"/>
        <v>514391.36039096798</v>
      </c>
    </row>
    <row r="20" spans="1:32" x14ac:dyDescent="0.25">
      <c r="A20">
        <v>15</v>
      </c>
      <c r="B20" s="47">
        <v>3.7900000000000003E-2</v>
      </c>
      <c r="C20" s="58"/>
      <c r="D20" s="51">
        <f t="shared" si="22"/>
        <v>197.25238735102425</v>
      </c>
      <c r="E20" s="51">
        <f t="shared" si="16"/>
        <v>242.89174652262557</v>
      </c>
      <c r="F20" s="51">
        <f t="shared" si="21"/>
        <v>236.29824880065439</v>
      </c>
      <c r="G20" s="51">
        <f t="shared" si="17"/>
        <v>246.10822167499148</v>
      </c>
      <c r="H20" s="51">
        <f t="shared" si="20"/>
        <v>566.44936384832135</v>
      </c>
      <c r="I20" s="51">
        <f t="shared" si="18"/>
        <v>511.00003180238298</v>
      </c>
      <c r="K20" s="51">
        <f t="shared" si="2"/>
        <v>433.55063615167865</v>
      </c>
      <c r="L20" s="51">
        <f t="shared" si="3"/>
        <v>364.61345458396386</v>
      </c>
      <c r="M20" s="51">
        <f t="shared" si="4"/>
        <v>180.90553252576234</v>
      </c>
      <c r="N20" s="51">
        <f t="shared" si="5"/>
        <v>152.14045527197285</v>
      </c>
      <c r="O20" s="47"/>
      <c r="P20" s="51">
        <f>(D20*cAsymp+'Markov Model'!F20*cProg)/((1+cDR)^ncycle)</f>
        <v>336950.27410664834</v>
      </c>
      <c r="Q20" s="47">
        <f t="shared" si="6"/>
        <v>16328.085568292256</v>
      </c>
      <c r="R20" s="51">
        <f t="shared" si="7"/>
        <v>353278.35967494058</v>
      </c>
      <c r="U20" s="51">
        <f t="shared" si="19"/>
        <v>380.60695221464027</v>
      </c>
      <c r="V20" s="51">
        <f t="shared" si="8"/>
        <v>165.84621874678103</v>
      </c>
      <c r="W20" s="51">
        <f t="shared" si="9"/>
        <v>453.54682903857872</v>
      </c>
      <c r="Y20" s="51">
        <f t="shared" si="10"/>
        <v>546.45317096142128</v>
      </c>
      <c r="Z20" s="51">
        <f t="shared" si="11"/>
        <v>485.96126866399402</v>
      </c>
      <c r="AA20" s="51">
        <f t="shared" si="12"/>
        <v>228.01581557034606</v>
      </c>
      <c r="AB20" s="51">
        <f t="shared" si="13"/>
        <v>202.77465828420171</v>
      </c>
      <c r="AD20" s="51">
        <f>(U20*(cAsymp+cDrug)+'Markov Model'!V20*cProg)/((1+cDR)^ncycle)</f>
        <v>445826.47216272209</v>
      </c>
      <c r="AE20" s="47">
        <f t="shared" si="14"/>
        <v>10920.091215103108</v>
      </c>
      <c r="AF20" s="51">
        <f t="shared" si="15"/>
        <v>456746.56337782519</v>
      </c>
    </row>
    <row r="21" spans="1:32" x14ac:dyDescent="0.25">
      <c r="A21">
        <v>16</v>
      </c>
      <c r="B21" s="47">
        <v>3.7900000000000003E-2</v>
      </c>
      <c r="C21" s="58"/>
      <c r="D21" s="51">
        <f t="shared" si="22"/>
        <v>158.21613989425657</v>
      </c>
      <c r="E21" s="51">
        <f t="shared" si="16"/>
        <v>197.25238735102425</v>
      </c>
      <c r="F21" s="51">
        <f t="shared" si="21"/>
        <v>223.45818982717529</v>
      </c>
      <c r="G21" s="51">
        <f t="shared" si="17"/>
        <v>236.29824880065439</v>
      </c>
      <c r="H21" s="51">
        <f t="shared" si="20"/>
        <v>618.32567027856817</v>
      </c>
      <c r="I21" s="51">
        <f t="shared" si="18"/>
        <v>566.44936384832135</v>
      </c>
      <c r="K21" s="51">
        <f t="shared" si="2"/>
        <v>381.67432972143183</v>
      </c>
      <c r="L21" s="51">
        <f t="shared" si="3"/>
        <v>317.89897526992524</v>
      </c>
      <c r="M21" s="51">
        <f t="shared" si="4"/>
        <v>150.2446814834056</v>
      </c>
      <c r="N21" s="51">
        <f t="shared" si="5"/>
        <v>125.13975021110512</v>
      </c>
      <c r="O21" s="47"/>
      <c r="P21" s="51">
        <f>(D21*cAsymp+'Markov Model'!F21*cProg)/((1+cDR)^ncycle)</f>
        <v>295031.05571833072</v>
      </c>
      <c r="Q21" s="47">
        <f t="shared" si="6"/>
        <v>14789.85047062603</v>
      </c>
      <c r="R21" s="51">
        <f t="shared" si="7"/>
        <v>309820.90618895675</v>
      </c>
      <c r="U21" s="51">
        <f t="shared" si="19"/>
        <v>335.7333925485342</v>
      </c>
      <c r="V21" s="51">
        <f t="shared" si="8"/>
        <v>165.13227042143208</v>
      </c>
      <c r="W21" s="51">
        <f t="shared" si="9"/>
        <v>499.13433703003375</v>
      </c>
      <c r="Y21" s="51">
        <f t="shared" si="10"/>
        <v>500.86566296996625</v>
      </c>
      <c r="Z21" s="51">
        <f t="shared" si="11"/>
        <v>442.79592573718156</v>
      </c>
      <c r="AA21" s="51">
        <f t="shared" si="12"/>
        <v>197.16390686746198</v>
      </c>
      <c r="AB21" s="51">
        <f t="shared" si="13"/>
        <v>174.304970609599</v>
      </c>
      <c r="AD21" s="51">
        <f>(U21*(cAsymp+cDrug)+'Markov Model'!V21*cProg)/((1+cDR)^ncycle)</f>
        <v>393251.41715986736</v>
      </c>
      <c r="AE21" s="47">
        <f t="shared" si="14"/>
        <v>10380.274880720295</v>
      </c>
      <c r="AF21" s="51">
        <f t="shared" si="15"/>
        <v>403631.69204058766</v>
      </c>
    </row>
    <row r="22" spans="1:32" x14ac:dyDescent="0.25">
      <c r="A22">
        <v>17</v>
      </c>
      <c r="B22" s="47">
        <v>3.7900000000000003E-2</v>
      </c>
      <c r="C22" s="58"/>
      <c r="D22" s="51">
        <f t="shared" si="22"/>
        <v>125.32300441024063</v>
      </c>
      <c r="E22" s="51">
        <f t="shared" si="16"/>
        <v>158.21613989425657</v>
      </c>
      <c r="F22" s="51">
        <f t="shared" si="21"/>
        <v>208.36713974067266</v>
      </c>
      <c r="G22" s="51">
        <f t="shared" si="17"/>
        <v>223.45818982717529</v>
      </c>
      <c r="H22" s="51">
        <f t="shared" si="20"/>
        <v>666.30985584908672</v>
      </c>
      <c r="I22" s="51">
        <f t="shared" si="18"/>
        <v>618.32567027856817</v>
      </c>
      <c r="K22" s="51">
        <f t="shared" si="2"/>
        <v>333.69014415091328</v>
      </c>
      <c r="L22" s="51">
        <f t="shared" si="3"/>
        <v>275.33220899523309</v>
      </c>
      <c r="M22" s="51">
        <f t="shared" si="4"/>
        <v>123.92064637413854</v>
      </c>
      <c r="N22" s="51">
        <f t="shared" si="5"/>
        <v>102.24858571453048</v>
      </c>
      <c r="O22" s="47"/>
      <c r="P22" s="51">
        <f>(D22*cAsymp+'Markov Model'!F22*cProg)/((1+cDR)^ncycle)</f>
        <v>255410.67744833353</v>
      </c>
      <c r="Q22" s="47">
        <f t="shared" si="6"/>
        <v>13194.522898597674</v>
      </c>
      <c r="R22" s="51">
        <f t="shared" si="7"/>
        <v>268605.20034693123</v>
      </c>
      <c r="U22" s="51">
        <f t="shared" si="19"/>
        <v>294.47175860431946</v>
      </c>
      <c r="V22" s="51">
        <f t="shared" si="8"/>
        <v>162.64125517587041</v>
      </c>
      <c r="W22" s="51">
        <f t="shared" si="9"/>
        <v>542.88698621981018</v>
      </c>
      <c r="Y22" s="51">
        <f t="shared" si="10"/>
        <v>457.11301378018987</v>
      </c>
      <c r="Z22" s="51">
        <f t="shared" si="11"/>
        <v>401.72911205600627</v>
      </c>
      <c r="AA22" s="51">
        <f t="shared" si="12"/>
        <v>169.75550859558282</v>
      </c>
      <c r="AB22" s="51">
        <f t="shared" si="13"/>
        <v>149.18789813215039</v>
      </c>
      <c r="AD22" s="51">
        <f>(U22*(cAsymp+cDrug)+'Markov Model'!V22*cProg)/((1+cDR)^ncycle)</f>
        <v>345232.0256457738</v>
      </c>
      <c r="AE22" s="47">
        <f t="shared" si="14"/>
        <v>9750.5556858674354</v>
      </c>
      <c r="AF22" s="51">
        <f t="shared" si="15"/>
        <v>354982.58133164124</v>
      </c>
    </row>
    <row r="23" spans="1:32" x14ac:dyDescent="0.25">
      <c r="A23">
        <v>18</v>
      </c>
      <c r="B23" s="47">
        <v>3.7900000000000003E-2</v>
      </c>
      <c r="C23" s="58"/>
      <c r="D23" s="51">
        <f t="shared" si="22"/>
        <v>98.015121749249147</v>
      </c>
      <c r="E23" s="51">
        <f t="shared" si="16"/>
        <v>125.32300441024063</v>
      </c>
      <c r="F23" s="51">
        <f t="shared" si="21"/>
        <v>191.77309497724355</v>
      </c>
      <c r="G23" s="51">
        <f t="shared" si="17"/>
        <v>208.36713974067266</v>
      </c>
      <c r="H23" s="51">
        <f t="shared" si="20"/>
        <v>710.21178327350731</v>
      </c>
      <c r="I23" s="51">
        <f t="shared" si="18"/>
        <v>666.30985584908672</v>
      </c>
      <c r="K23" s="51">
        <f t="shared" si="2"/>
        <v>289.78821672649269</v>
      </c>
      <c r="L23" s="51">
        <f t="shared" si="3"/>
        <v>236.94418689471934</v>
      </c>
      <c r="M23" s="51">
        <f t="shared" si="4"/>
        <v>101.52550247253095</v>
      </c>
      <c r="N23" s="51">
        <f t="shared" si="5"/>
        <v>83.011924722722711</v>
      </c>
      <c r="O23" s="47"/>
      <c r="P23" s="51">
        <f>(D23*cAsymp+'Markov Model'!F23*cProg)/((1+cDR)^ncycle)</f>
        <v>218729.03406353664</v>
      </c>
      <c r="Q23" s="47">
        <f t="shared" si="6"/>
        <v>11607.021255675856</v>
      </c>
      <c r="R23" s="51">
        <f t="shared" si="7"/>
        <v>230336.05531921249</v>
      </c>
      <c r="U23" s="51">
        <f t="shared" si="19"/>
        <v>256.80882067882692</v>
      </c>
      <c r="V23" s="51">
        <f t="shared" si="8"/>
        <v>158.58342160271309</v>
      </c>
      <c r="W23" s="51">
        <f t="shared" si="9"/>
        <v>584.60775771845999</v>
      </c>
      <c r="Y23" s="51">
        <f t="shared" si="10"/>
        <v>415.39224228154001</v>
      </c>
      <c r="Z23" s="51">
        <f t="shared" si="11"/>
        <v>362.90594584692042</v>
      </c>
      <c r="AA23" s="51">
        <f t="shared" si="12"/>
        <v>145.53009296657569</v>
      </c>
      <c r="AB23" s="51">
        <f t="shared" si="13"/>
        <v>127.14184489133983</v>
      </c>
      <c r="AD23" s="51">
        <f>(U23*(cAsymp+cDrug)+'Markov Model'!V23*cProg)/((1+cDR)^ncycle)</f>
        <v>301633.21515166672</v>
      </c>
      <c r="AE23" s="47">
        <f t="shared" si="14"/>
        <v>9059.8762752399543</v>
      </c>
      <c r="AF23" s="51">
        <f t="shared" si="15"/>
        <v>310693.0914269067</v>
      </c>
    </row>
    <row r="24" spans="1:32" x14ac:dyDescent="0.25">
      <c r="A24">
        <v>19</v>
      </c>
      <c r="B24" s="47">
        <v>3.7900000000000003E-2</v>
      </c>
      <c r="C24" s="58"/>
      <c r="D24" s="51">
        <f t="shared" si="22"/>
        <v>75.677475502595257</v>
      </c>
      <c r="E24" s="51">
        <f t="shared" si="16"/>
        <v>98.015121749249147</v>
      </c>
      <c r="F24" s="51">
        <f t="shared" si="21"/>
        <v>174.36180356337681</v>
      </c>
      <c r="G24" s="51">
        <f t="shared" si="17"/>
        <v>191.77309497724355</v>
      </c>
      <c r="H24" s="51">
        <f t="shared" si="20"/>
        <v>749.9607209340279</v>
      </c>
      <c r="I24" s="51">
        <f t="shared" si="18"/>
        <v>710.21178327350731</v>
      </c>
      <c r="K24" s="51">
        <f t="shared" si="2"/>
        <v>250.03927906597207</v>
      </c>
      <c r="L24" s="51">
        <f t="shared" si="3"/>
        <v>202.66495439999809</v>
      </c>
      <c r="M24" s="51">
        <f t="shared" si="4"/>
        <v>82.641234867156356</v>
      </c>
      <c r="N24" s="51">
        <f t="shared" si="5"/>
        <v>66.983404201436457</v>
      </c>
      <c r="O24" s="47"/>
      <c r="P24" s="51">
        <f>(D24*cAsymp+'Markov Model'!F24*cProg)/((1+cDR)^ncycle)</f>
        <v>185392.72896310419</v>
      </c>
      <c r="Q24" s="47">
        <f t="shared" si="6"/>
        <v>10077.976969636271</v>
      </c>
      <c r="R24" s="51">
        <f t="shared" si="7"/>
        <v>195470.70593274047</v>
      </c>
      <c r="U24" s="51">
        <f t="shared" si="19"/>
        <v>222.67892841061087</v>
      </c>
      <c r="V24" s="51">
        <f t="shared" si="8"/>
        <v>153.18243464805184</v>
      </c>
      <c r="W24" s="51">
        <f t="shared" si="9"/>
        <v>624.13863694133727</v>
      </c>
      <c r="Y24" s="51">
        <f t="shared" si="10"/>
        <v>375.86136305866273</v>
      </c>
      <c r="Z24" s="51">
        <f t="shared" si="11"/>
        <v>326.43180797611922</v>
      </c>
      <c r="AA24" s="51">
        <f t="shared" si="12"/>
        <v>124.22707063486996</v>
      </c>
      <c r="AB24" s="51">
        <f t="shared" si="13"/>
        <v>107.88995957690003</v>
      </c>
      <c r="AD24" s="51">
        <f>(U24*(cAsymp+cDrug)+'Markov Model'!V24*cProg)/((1+cDR)^ncycle)</f>
        <v>262283.78739900311</v>
      </c>
      <c r="AE24" s="47">
        <f t="shared" si="14"/>
        <v>8333.8075701803191</v>
      </c>
      <c r="AF24" s="51">
        <f t="shared" si="15"/>
        <v>270617.59496918344</v>
      </c>
    </row>
    <row r="25" spans="1:32" x14ac:dyDescent="0.25">
      <c r="A25">
        <v>20</v>
      </c>
      <c r="B25" s="47">
        <v>3.7900000000000003E-2</v>
      </c>
      <c r="C25" s="58"/>
      <c r="D25" s="51">
        <f t="shared" si="22"/>
        <v>57.67380408052793</v>
      </c>
      <c r="E25" s="51">
        <f t="shared" si="16"/>
        <v>75.677475502595257</v>
      </c>
      <c r="F25" s="51">
        <f t="shared" si="21"/>
        <v>156.73471577433736</v>
      </c>
      <c r="G25" s="51">
        <f t="shared" si="17"/>
        <v>174.36180356337681</v>
      </c>
      <c r="H25" s="51">
        <f t="shared" si="20"/>
        <v>785.59148014513471</v>
      </c>
      <c r="I25" s="51">
        <f t="shared" si="18"/>
        <v>749.9607209340279</v>
      </c>
      <c r="K25" s="51">
        <f t="shared" si="2"/>
        <v>214.40851985486529</v>
      </c>
      <c r="L25" s="51">
        <f t="shared" si="3"/>
        <v>172.34115070725454</v>
      </c>
      <c r="M25" s="51">
        <f t="shared" si="4"/>
        <v>66.853589975395849</v>
      </c>
      <c r="N25" s="51">
        <f t="shared" si="5"/>
        <v>53.736785427508991</v>
      </c>
      <c r="O25" s="47"/>
      <c r="P25" s="51">
        <f>(D25*cAsymp+'Markov Model'!F25*cProg)/((1+cDR)^ncycle)</f>
        <v>155603.3581016612</v>
      </c>
      <c r="Q25" s="47">
        <f t="shared" si="6"/>
        <v>8644.3266917715609</v>
      </c>
      <c r="R25" s="51">
        <f t="shared" si="7"/>
        <v>164247.68479343277</v>
      </c>
      <c r="U25" s="51">
        <f t="shared" si="19"/>
        <v>191.97150418278773</v>
      </c>
      <c r="V25" s="51">
        <f t="shared" si="8"/>
        <v>146.66734801874395</v>
      </c>
      <c r="W25" s="51">
        <f t="shared" si="9"/>
        <v>661.36114779846832</v>
      </c>
      <c r="Y25" s="51">
        <f t="shared" si="10"/>
        <v>338.63885220153168</v>
      </c>
      <c r="Z25" s="51">
        <f t="shared" si="11"/>
        <v>292.37343998770632</v>
      </c>
      <c r="AA25" s="51">
        <f t="shared" si="12"/>
        <v>105.58919482371564</v>
      </c>
      <c r="AB25" s="51">
        <f t="shared" si="13"/>
        <v>91.163420604111721</v>
      </c>
      <c r="AD25" s="51">
        <f>(U25*(cAsymp+cDrug)+'Markov Model'!V25*cProg)/((1+cDR)^ncycle)</f>
        <v>226981.15082370958</v>
      </c>
      <c r="AE25" s="47">
        <f t="shared" si="14"/>
        <v>7594.318144669819</v>
      </c>
      <c r="AF25" s="51">
        <f t="shared" si="15"/>
        <v>234575.4689683794</v>
      </c>
    </row>
    <row r="26" spans="1:32" x14ac:dyDescent="0.25">
      <c r="A26">
        <v>21</v>
      </c>
      <c r="B26" s="47">
        <v>9.1200000000000003E-2</v>
      </c>
      <c r="C26" s="58"/>
      <c r="D26" s="51">
        <f t="shared" si="22"/>
        <v>40.302454291472941</v>
      </c>
      <c r="E26" s="51">
        <f t="shared" si="16"/>
        <v>57.67380408052793</v>
      </c>
      <c r="F26" s="51">
        <f t="shared" si="21"/>
        <v>131.04180118647804</v>
      </c>
      <c r="G26" s="51">
        <f t="shared" si="17"/>
        <v>156.73471577433736</v>
      </c>
      <c r="H26" s="51">
        <f t="shared" si="20"/>
        <v>828.65574452204896</v>
      </c>
      <c r="I26" s="51">
        <f t="shared" si="18"/>
        <v>785.59148014513471</v>
      </c>
      <c r="K26" s="51">
        <f t="shared" si="2"/>
        <v>171.34425547795098</v>
      </c>
      <c r="L26" s="51">
        <f t="shared" si="3"/>
        <v>136.56868246675782</v>
      </c>
      <c r="M26" s="51">
        <f t="shared" si="4"/>
        <v>50.40183847434146</v>
      </c>
      <c r="N26" s="51">
        <f t="shared" si="5"/>
        <v>40.172415790320549</v>
      </c>
      <c r="O26" s="47"/>
      <c r="P26" s="51">
        <f>(D26*cAsymp+'Markov Model'!F26*cProg)/((1+cDR)^ncycle)</f>
        <v>121567.55374096868</v>
      </c>
      <c r="Q26" s="47">
        <f t="shared" si="6"/>
        <v>7330.593786837796</v>
      </c>
      <c r="R26" s="51">
        <f t="shared" si="7"/>
        <v>128898.14752780648</v>
      </c>
      <c r="U26" s="51">
        <f t="shared" si="19"/>
        <v>154.30669506212473</v>
      </c>
      <c r="V26" s="51">
        <f t="shared" si="8"/>
        <v>131.4481916158156</v>
      </c>
      <c r="W26" s="51">
        <f t="shared" si="9"/>
        <v>714.24511332205964</v>
      </c>
      <c r="Y26" s="51">
        <f t="shared" si="10"/>
        <v>285.75488667794036</v>
      </c>
      <c r="Z26" s="51">
        <f t="shared" si="11"/>
        <v>245.17750402088018</v>
      </c>
      <c r="AA26" s="51">
        <f t="shared" si="12"/>
        <v>84.05634377073504</v>
      </c>
      <c r="AB26" s="51">
        <f t="shared" si="13"/>
        <v>72.120287433813544</v>
      </c>
      <c r="AD26" s="51">
        <f>(U26*(cAsymp+cDrug)+'Markov Model'!V26*cProg)/((1+cDR)^ncycle)</f>
        <v>184083.809268988</v>
      </c>
      <c r="AE26" s="47">
        <f t="shared" si="14"/>
        <v>6859.7358588136103</v>
      </c>
      <c r="AF26" s="51">
        <f t="shared" si="15"/>
        <v>190943.5451278016</v>
      </c>
    </row>
    <row r="27" spans="1:32" x14ac:dyDescent="0.25">
      <c r="A27">
        <v>22</v>
      </c>
      <c r="B27" s="47">
        <v>9.1200000000000003E-2</v>
      </c>
      <c r="C27" s="58"/>
      <c r="D27" s="51">
        <f t="shared" si="22"/>
        <v>27.760330515966643</v>
      </c>
      <c r="E27" s="51">
        <f t="shared" si="16"/>
        <v>40.302454291472941</v>
      </c>
      <c r="F27" s="51">
        <f t="shared" si="21"/>
        <v>108.30105868442357</v>
      </c>
      <c r="G27" s="51">
        <f t="shared" si="17"/>
        <v>131.04180118647804</v>
      </c>
      <c r="H27" s="51">
        <f t="shared" si="20"/>
        <v>863.93861079960982</v>
      </c>
      <c r="I27" s="51">
        <f t="shared" si="18"/>
        <v>828.65574452204896</v>
      </c>
      <c r="K27" s="51">
        <f t="shared" si="2"/>
        <v>136.06138920039021</v>
      </c>
      <c r="L27" s="51">
        <f t="shared" si="3"/>
        <v>107.59810800348599</v>
      </c>
      <c r="M27" s="51">
        <f t="shared" si="4"/>
        <v>37.757728995522314</v>
      </c>
      <c r="N27" s="51">
        <f t="shared" si="5"/>
        <v>29.859023388649288</v>
      </c>
      <c r="O27" s="47"/>
      <c r="P27" s="51">
        <f>(D27*cAsymp+'Markov Model'!F27*cProg)/((1+cDR)^ncycle)</f>
        <v>94014.103961472589</v>
      </c>
      <c r="Q27" s="47">
        <f t="shared" si="6"/>
        <v>5781.9980702278772</v>
      </c>
      <c r="R27" s="51">
        <f t="shared" si="7"/>
        <v>99796.102031700459</v>
      </c>
      <c r="U27" s="51">
        <f t="shared" si="19"/>
        <v>123.26018801562532</v>
      </c>
      <c r="V27" s="51">
        <f t="shared" si="8"/>
        <v>116.71662425491459</v>
      </c>
      <c r="W27" s="51">
        <f t="shared" si="9"/>
        <v>760.02318772946012</v>
      </c>
      <c r="Y27" s="51">
        <f t="shared" si="10"/>
        <v>239.97681227053991</v>
      </c>
      <c r="Z27" s="51">
        <f t="shared" si="11"/>
        <v>204.63464680602999</v>
      </c>
      <c r="AA27" s="51">
        <f t="shared" si="12"/>
        <v>66.594788544863647</v>
      </c>
      <c r="AB27" s="51">
        <f t="shared" si="13"/>
        <v>56.787157492688223</v>
      </c>
      <c r="AD27" s="51">
        <f>(U27*(cAsymp+cDrug)+'Markov Model'!V27*cProg)/((1+cDR)^ncycle)</f>
        <v>148476.37000428728</v>
      </c>
      <c r="AE27" s="47">
        <f t="shared" si="14"/>
        <v>5799.929361288544</v>
      </c>
      <c r="AF27" s="51">
        <f t="shared" si="15"/>
        <v>154276.29936557583</v>
      </c>
    </row>
    <row r="28" spans="1:32" x14ac:dyDescent="0.25">
      <c r="A28">
        <v>23</v>
      </c>
      <c r="B28" s="47">
        <v>9.1200000000000003E-2</v>
      </c>
      <c r="C28" s="58"/>
      <c r="D28" s="51">
        <f t="shared" si="22"/>
        <v>18.843712354238164</v>
      </c>
      <c r="E28" s="51">
        <f t="shared" si="16"/>
        <v>27.760330515966643</v>
      </c>
      <c r="F28" s="51">
        <f t="shared" si="21"/>
        <v>88.563719348412917</v>
      </c>
      <c r="G28" s="51">
        <f t="shared" si="17"/>
        <v>108.30105868442357</v>
      </c>
      <c r="H28" s="51">
        <f t="shared" si="20"/>
        <v>892.59256829734898</v>
      </c>
      <c r="I28" s="51">
        <f t="shared" si="18"/>
        <v>863.93861079960982</v>
      </c>
      <c r="K28" s="51">
        <f t="shared" si="2"/>
        <v>107.40743170265108</v>
      </c>
      <c r="L28" s="51">
        <f t="shared" si="3"/>
        <v>84.324316247835938</v>
      </c>
      <c r="M28" s="51">
        <f t="shared" si="4"/>
        <v>28.118971455950934</v>
      </c>
      <c r="N28" s="51">
        <f t="shared" si="5"/>
        <v>22.075875049128033</v>
      </c>
      <c r="O28" s="47"/>
      <c r="P28" s="51">
        <f>(D28*cAsymp+'Markov Model'!F28*cProg)/((1+cDR)^ncycle)</f>
        <v>72023.833653292371</v>
      </c>
      <c r="Q28" s="47">
        <f t="shared" si="6"/>
        <v>4508.1143678226863</v>
      </c>
      <c r="R28" s="51">
        <f t="shared" si="7"/>
        <v>76531.948021115051</v>
      </c>
      <c r="U28" s="51">
        <f t="shared" si="19"/>
        <v>97.843937246803421</v>
      </c>
      <c r="V28" s="51">
        <f t="shared" si="8"/>
        <v>102.73949610642609</v>
      </c>
      <c r="W28" s="51">
        <f t="shared" si="9"/>
        <v>799.41656664677055</v>
      </c>
      <c r="Y28" s="51">
        <f t="shared" si="10"/>
        <v>200.58343335322951</v>
      </c>
      <c r="Z28" s="51">
        <f t="shared" si="11"/>
        <v>170.0063624642828</v>
      </c>
      <c r="AA28" s="51">
        <f t="shared" si="12"/>
        <v>52.512193500823493</v>
      </c>
      <c r="AB28" s="51">
        <f t="shared" si="13"/>
        <v>44.507200085533974</v>
      </c>
      <c r="AD28" s="51">
        <f>(U28*(cAsymp+cDrug)+'Markov Model'!V28*cProg)/((1+cDR)^ncycle)</f>
        <v>119113.6683030978</v>
      </c>
      <c r="AE28" s="47">
        <f t="shared" si="14"/>
        <v>4858.418718699184</v>
      </c>
      <c r="AF28" s="51">
        <f t="shared" si="15"/>
        <v>123972.08702179699</v>
      </c>
    </row>
    <row r="29" spans="1:32" x14ac:dyDescent="0.25">
      <c r="A29">
        <v>24</v>
      </c>
      <c r="B29" s="47">
        <v>9.1200000000000003E-2</v>
      </c>
      <c r="C29" s="58"/>
      <c r="D29" s="51">
        <f t="shared" si="22"/>
        <v>12.602674822514473</v>
      </c>
      <c r="E29" s="51">
        <f t="shared" si="16"/>
        <v>18.843712354238164</v>
      </c>
      <c r="F29" s="51">
        <f t="shared" si="21"/>
        <v>71.724641206592864</v>
      </c>
      <c r="G29" s="51">
        <f t="shared" si="17"/>
        <v>88.563719348412917</v>
      </c>
      <c r="H29" s="51">
        <f t="shared" si="20"/>
        <v>915.67268397089265</v>
      </c>
      <c r="I29" s="51">
        <f t="shared" si="18"/>
        <v>892.59256829734898</v>
      </c>
      <c r="K29" s="51">
        <f t="shared" si="2"/>
        <v>84.327316029107337</v>
      </c>
      <c r="L29" s="51">
        <f t="shared" si="3"/>
        <v>65.766021986333385</v>
      </c>
      <c r="M29" s="51">
        <f t="shared" si="4"/>
        <v>20.827038097782253</v>
      </c>
      <c r="N29" s="51">
        <f t="shared" si="5"/>
        <v>16.24279663989503</v>
      </c>
      <c r="O29" s="47"/>
      <c r="P29" s="51">
        <f>(D29*cAsymp+'Markov Model'!F29*cProg)/((1+cDR)^ncycle)</f>
        <v>54699.638461367511</v>
      </c>
      <c r="Q29" s="47">
        <f t="shared" si="6"/>
        <v>3477.8608755190144</v>
      </c>
      <c r="R29" s="51">
        <f t="shared" si="7"/>
        <v>58177.499336886525</v>
      </c>
      <c r="U29" s="51">
        <f t="shared" si="19"/>
        <v>77.179297700278426</v>
      </c>
      <c r="V29" s="51">
        <f t="shared" si="8"/>
        <v>89.700002115172509</v>
      </c>
      <c r="W29" s="51">
        <f t="shared" si="9"/>
        <v>833.12070018454904</v>
      </c>
      <c r="Y29" s="51">
        <f t="shared" si="10"/>
        <v>166.87929981545093</v>
      </c>
      <c r="Z29" s="51">
        <f t="shared" si="11"/>
        <v>140.59533440164387</v>
      </c>
      <c r="AA29" s="51">
        <f t="shared" si="12"/>
        <v>41.215607215435945</v>
      </c>
      <c r="AB29" s="51">
        <f t="shared" si="13"/>
        <v>34.724031593069427</v>
      </c>
      <c r="AD29" s="51">
        <f>(U29*(cAsymp+cDrug)+'Markov Model'!V29*cProg)/((1+cDR)^ncycle)</f>
        <v>95054.375285114322</v>
      </c>
      <c r="AE29" s="47">
        <f t="shared" si="14"/>
        <v>4034.5378051862554</v>
      </c>
      <c r="AF29" s="51">
        <f t="shared" si="15"/>
        <v>99088.913090300572</v>
      </c>
    </row>
    <row r="30" spans="1:32" x14ac:dyDescent="0.25">
      <c r="A30">
        <v>25</v>
      </c>
      <c r="B30" s="47">
        <v>9.1200000000000003E-2</v>
      </c>
      <c r="C30" s="58"/>
      <c r="D30" s="51">
        <f t="shared" si="22"/>
        <v>8.3026421730723996</v>
      </c>
      <c r="E30" s="51">
        <f t="shared" si="16"/>
        <v>12.602674822514473</v>
      </c>
      <c r="F30" s="51">
        <f t="shared" si="21"/>
        <v>57.575326453191281</v>
      </c>
      <c r="G30" s="51">
        <f t="shared" si="17"/>
        <v>71.724641206592864</v>
      </c>
      <c r="H30" s="51">
        <f t="shared" si="20"/>
        <v>934.12203137373626</v>
      </c>
      <c r="I30" s="51">
        <f t="shared" si="18"/>
        <v>915.67268397089265</v>
      </c>
      <c r="K30" s="51">
        <f t="shared" si="2"/>
        <v>65.87796862626368</v>
      </c>
      <c r="L30" s="51">
        <f t="shared" si="3"/>
        <v>51.069004904312237</v>
      </c>
      <c r="M30" s="51">
        <f t="shared" si="4"/>
        <v>15.349476470298015</v>
      </c>
      <c r="N30" s="51">
        <f t="shared" si="5"/>
        <v>11.899008203901461</v>
      </c>
      <c r="O30" s="47"/>
      <c r="P30" s="51">
        <f>(D30*cAsymp+'Markov Model'!F30*cProg)/((1+cDR)^ncycle)</f>
        <v>41212.168771169658</v>
      </c>
      <c r="Q30" s="47">
        <f t="shared" si="6"/>
        <v>2657.1671647485828</v>
      </c>
      <c r="R30" s="51">
        <f t="shared" si="7"/>
        <v>43869.335935918243</v>
      </c>
      <c r="U30" s="51">
        <f t="shared" si="19"/>
        <v>60.493133537478229</v>
      </c>
      <c r="V30" s="51">
        <f t="shared" si="8"/>
        <v>77.7117738175277</v>
      </c>
      <c r="W30" s="51">
        <f t="shared" si="9"/>
        <v>861.79509264499404</v>
      </c>
      <c r="Y30" s="51">
        <f t="shared" si="10"/>
        <v>138.20490735500593</v>
      </c>
      <c r="Z30" s="51">
        <f t="shared" si="11"/>
        <v>115.75230722375008</v>
      </c>
      <c r="AA30" s="51">
        <f t="shared" si="12"/>
        <v>32.201554142634102</v>
      </c>
      <c r="AB30" s="51">
        <f t="shared" si="13"/>
        <v>26.970129060799909</v>
      </c>
      <c r="AD30" s="51">
        <f>(U30*(cAsymp+cDrug)+'Markov Model'!V30*cProg)/((1+cDR)^ncycle)</f>
        <v>75462.436524219782</v>
      </c>
      <c r="AE30" s="47">
        <f t="shared" si="14"/>
        <v>3323.0964461960407</v>
      </c>
      <c r="AF30" s="51">
        <f t="shared" si="15"/>
        <v>78785.532970415821</v>
      </c>
    </row>
    <row r="31" spans="1:32" x14ac:dyDescent="0.25">
      <c r="A31">
        <v>26</v>
      </c>
      <c r="B31" s="47">
        <v>9.1200000000000003E-2</v>
      </c>
      <c r="C31" s="58"/>
      <c r="D31" s="51">
        <f t="shared" si="22"/>
        <v>5.3867542418894345</v>
      </c>
      <c r="E31" s="51">
        <f t="shared" si="16"/>
        <v>8.3026421730723996</v>
      </c>
      <c r="F31" s="51">
        <f t="shared" si="21"/>
        <v>45.846844677680359</v>
      </c>
      <c r="G31" s="51">
        <f t="shared" si="17"/>
        <v>57.575326453191281</v>
      </c>
      <c r="H31" s="51">
        <f t="shared" si="20"/>
        <v>948.76640108043023</v>
      </c>
      <c r="I31" s="51">
        <f t="shared" si="18"/>
        <v>934.12203137373626</v>
      </c>
      <c r="K31" s="51">
        <f t="shared" si="2"/>
        <v>51.233598919569793</v>
      </c>
      <c r="L31" s="51">
        <f t="shared" si="3"/>
        <v>39.502550038055233</v>
      </c>
      <c r="M31" s="51">
        <f t="shared" si="4"/>
        <v>11.261658852873216</v>
      </c>
      <c r="N31" s="51">
        <f t="shared" si="5"/>
        <v>8.6830566606400605</v>
      </c>
      <c r="O31" s="47"/>
      <c r="P31" s="51">
        <f>(D31*cAsymp+'Markov Model'!F31*cProg)/((1+cDR)^ncycle)</f>
        <v>30824.820046305293</v>
      </c>
      <c r="Q31" s="47">
        <f t="shared" si="6"/>
        <v>2012.2458321612392</v>
      </c>
      <c r="R31" s="51">
        <f t="shared" si="7"/>
        <v>32837.065878466528</v>
      </c>
      <c r="U31" s="51">
        <f t="shared" si="19"/>
        <v>47.112052398988112</v>
      </c>
      <c r="V31" s="51">
        <f t="shared" si="8"/>
        <v>66.831801332612187</v>
      </c>
      <c r="W31" s="51">
        <f t="shared" si="9"/>
        <v>886.05614626839974</v>
      </c>
      <c r="Y31" s="51">
        <f t="shared" si="10"/>
        <v>113.9438537316003</v>
      </c>
      <c r="Z31" s="51">
        <f t="shared" si="11"/>
        <v>94.88030077849784</v>
      </c>
      <c r="AA31" s="51">
        <f t="shared" si="12"/>
        <v>25.046001767734928</v>
      </c>
      <c r="AB31" s="51">
        <f t="shared" si="13"/>
        <v>20.855641644516663</v>
      </c>
      <c r="AD31" s="51">
        <f>(U31*(cAsymp+cDrug)+'Markov Model'!V31*cProg)/((1+cDR)^ncycle)</f>
        <v>59604.452912838766</v>
      </c>
      <c r="AE31" s="47">
        <f t="shared" si="14"/>
        <v>2716.0105310268632</v>
      </c>
      <c r="AF31" s="51">
        <f t="shared" si="15"/>
        <v>62320.463443865629</v>
      </c>
    </row>
    <row r="32" spans="1:32" x14ac:dyDescent="0.25">
      <c r="A32">
        <v>27</v>
      </c>
      <c r="B32" s="47">
        <v>9.1200000000000003E-2</v>
      </c>
      <c r="C32" s="58"/>
      <c r="D32" s="51">
        <f t="shared" si="22"/>
        <v>3.4410586097188798</v>
      </c>
      <c r="E32" s="51">
        <f t="shared" si="16"/>
        <v>5.3867542418894345</v>
      </c>
      <c r="F32" s="51">
        <f t="shared" si="21"/>
        <v>36.243009386734002</v>
      </c>
      <c r="G32" s="51">
        <f t="shared" si="17"/>
        <v>45.846844677680359</v>
      </c>
      <c r="H32" s="51">
        <f t="shared" si="20"/>
        <v>960.31593200354712</v>
      </c>
      <c r="I32" s="51">
        <f t="shared" si="18"/>
        <v>948.76640108043023</v>
      </c>
      <c r="K32" s="51">
        <f t="shared" si="2"/>
        <v>39.684067996452882</v>
      </c>
      <c r="L32" s="51">
        <f t="shared" si="3"/>
        <v>30.451262719283438</v>
      </c>
      <c r="M32" s="51">
        <f t="shared" si="4"/>
        <v>8.2292038946217314</v>
      </c>
      <c r="N32" s="51">
        <f t="shared" si="5"/>
        <v>6.3146159760656468</v>
      </c>
      <c r="O32" s="47"/>
      <c r="P32" s="51">
        <f>(D32*cAsymp+'Markov Model'!F32*cProg)/((1+cDR)^ncycle)</f>
        <v>22903.69849512335</v>
      </c>
      <c r="Q32" s="47">
        <f t="shared" si="6"/>
        <v>1511.639437192121</v>
      </c>
      <c r="R32" s="51">
        <f t="shared" si="7"/>
        <v>24415.33793231547</v>
      </c>
      <c r="U32" s="51">
        <f t="shared" si="19"/>
        <v>36.455306146336966</v>
      </c>
      <c r="V32" s="51">
        <f t="shared" si="8"/>
        <v>57.072097925049519</v>
      </c>
      <c r="W32" s="51">
        <f t="shared" si="9"/>
        <v>906.47259592861349</v>
      </c>
      <c r="Y32" s="51">
        <f t="shared" si="10"/>
        <v>93.527404071386485</v>
      </c>
      <c r="Z32" s="51">
        <f t="shared" si="11"/>
        <v>77.436614282807255</v>
      </c>
      <c r="AA32" s="51">
        <f t="shared" si="12"/>
        <v>19.394586207918728</v>
      </c>
      <c r="AB32" s="51">
        <f t="shared" si="13"/>
        <v>16.057872088601336</v>
      </c>
      <c r="AD32" s="51">
        <f>(U32*(cAsymp+cDrug)+'Markov Model'!V32*cProg)/((1+cDR)^ncycle)</f>
        <v>46844.265378789009</v>
      </c>
      <c r="AE32" s="47">
        <f t="shared" si="14"/>
        <v>2203.5450261236379</v>
      </c>
      <c r="AF32" s="51">
        <f t="shared" si="15"/>
        <v>49047.810404912649</v>
      </c>
    </row>
    <row r="33" spans="1:32" x14ac:dyDescent="0.25">
      <c r="A33">
        <v>28</v>
      </c>
      <c r="B33" s="47">
        <v>9.1200000000000003E-2</v>
      </c>
      <c r="C33" s="58"/>
      <c r="D33" s="51">
        <f t="shared" si="22"/>
        <v>2.163737653791145</v>
      </c>
      <c r="E33" s="51">
        <f t="shared" si="16"/>
        <v>3.4410586097188798</v>
      </c>
      <c r="F33" s="51">
        <f t="shared" si="21"/>
        <v>28.464691933375047</v>
      </c>
      <c r="G33" s="51">
        <f t="shared" si="17"/>
        <v>36.243009386734002</v>
      </c>
      <c r="H33" s="51">
        <f t="shared" si="20"/>
        <v>969.37157041283376</v>
      </c>
      <c r="I33" s="51">
        <f t="shared" si="18"/>
        <v>960.31593200354712</v>
      </c>
      <c r="K33" s="51">
        <f t="shared" si="2"/>
        <v>30.628429587166192</v>
      </c>
      <c r="L33" s="51">
        <f t="shared" si="3"/>
        <v>23.404069721132871</v>
      </c>
      <c r="M33" s="51">
        <f t="shared" si="4"/>
        <v>5.9918440627957192</v>
      </c>
      <c r="N33" s="51">
        <f t="shared" si="5"/>
        <v>4.5785415084613801</v>
      </c>
      <c r="O33" s="47"/>
      <c r="P33" s="51">
        <f>(D33*cAsymp+'Markov Model'!F33*cProg)/((1+cDR)^ncycle)</f>
        <v>16917.301421329772</v>
      </c>
      <c r="Q33" s="47">
        <f t="shared" si="6"/>
        <v>1127.3457928687487</v>
      </c>
      <c r="R33" s="51">
        <f t="shared" si="7"/>
        <v>18044.647214198521</v>
      </c>
      <c r="U33" s="51">
        <f t="shared" si="19"/>
        <v>28.026839365303886</v>
      </c>
      <c r="V33" s="51">
        <f t="shared" si="8"/>
        <v>48.410050766014741</v>
      </c>
      <c r="W33" s="51">
        <f t="shared" si="9"/>
        <v>923.56310986868141</v>
      </c>
      <c r="Y33" s="51">
        <f t="shared" si="10"/>
        <v>76.43689013131862</v>
      </c>
      <c r="Z33" s="51">
        <f t="shared" si="11"/>
        <v>62.933035471549744</v>
      </c>
      <c r="AA33" s="51">
        <f t="shared" si="12"/>
        <v>14.953359753835331</v>
      </c>
      <c r="AB33" s="51">
        <f t="shared" si="13"/>
        <v>12.31159873446213</v>
      </c>
      <c r="AD33" s="51">
        <f>(U33*(cAsymp+cDrug)+'Markov Model'!V33*cProg)/((1+cDR)^ncycle)</f>
        <v>36635.737368363756</v>
      </c>
      <c r="AE33" s="47">
        <f t="shared" si="14"/>
        <v>1775.2386066910915</v>
      </c>
      <c r="AF33" s="51">
        <f t="shared" si="15"/>
        <v>38410.975975054847</v>
      </c>
    </row>
    <row r="34" spans="1:32" x14ac:dyDescent="0.25">
      <c r="A34">
        <v>29</v>
      </c>
      <c r="B34" s="47">
        <v>9.1200000000000003E-2</v>
      </c>
      <c r="C34" s="58"/>
      <c r="D34" s="51">
        <f t="shared" si="22"/>
        <v>1.338920860166013</v>
      </c>
      <c r="E34" s="51">
        <f t="shared" si="16"/>
        <v>2.163737653791145</v>
      </c>
      <c r="F34" s="51">
        <f t="shared" si="21"/>
        <v>22.226492158644415</v>
      </c>
      <c r="G34" s="51">
        <f t="shared" si="17"/>
        <v>28.464691933375047</v>
      </c>
      <c r="H34" s="51">
        <f t="shared" si="20"/>
        <v>976.43458698118957</v>
      </c>
      <c r="I34" s="51">
        <f t="shared" si="18"/>
        <v>969.37157041283376</v>
      </c>
      <c r="K34" s="51">
        <f t="shared" si="2"/>
        <v>23.565413018810428</v>
      </c>
      <c r="L34" s="51">
        <f t="shared" si="3"/>
        <v>17.941843936141023</v>
      </c>
      <c r="M34" s="51">
        <f t="shared" si="4"/>
        <v>4.3491557744083442</v>
      </c>
      <c r="N34" s="51">
        <f t="shared" si="5"/>
        <v>3.3112882042896645</v>
      </c>
      <c r="O34" s="47"/>
      <c r="P34" s="51">
        <f>(D34*cAsymp+'Markov Model'!F34*cProg)/((1+cDR)^ncycle)</f>
        <v>12429.700154682452</v>
      </c>
      <c r="Q34" s="47">
        <f t="shared" si="6"/>
        <v>835.28276339591469</v>
      </c>
      <c r="R34" s="51">
        <f t="shared" si="7"/>
        <v>13264.982918078367</v>
      </c>
      <c r="U34" s="51">
        <f t="shared" si="19"/>
        <v>21.406899907219099</v>
      </c>
      <c r="V34" s="51">
        <f t="shared" si="8"/>
        <v>40.797438229221044</v>
      </c>
      <c r="W34" s="51">
        <f t="shared" si="9"/>
        <v>937.79566186355987</v>
      </c>
      <c r="Y34" s="51">
        <f t="shared" si="10"/>
        <v>62.204338136440143</v>
      </c>
      <c r="Z34" s="51">
        <f t="shared" si="11"/>
        <v>50.93463358377393</v>
      </c>
      <c r="AA34" s="51">
        <f t="shared" si="12"/>
        <v>11.48022978351365</v>
      </c>
      <c r="AB34" s="51">
        <f t="shared" si="13"/>
        <v>9.4003298644254318</v>
      </c>
      <c r="AD34" s="51">
        <f>(U34*(cAsymp+cDrug)+'Markov Model'!V34*cProg)/((1+cDR)^ncycle)</f>
        <v>28514.507899614506</v>
      </c>
      <c r="AE34" s="47">
        <f t="shared" si="14"/>
        <v>1420.5697737610758</v>
      </c>
      <c r="AF34" s="51">
        <f t="shared" si="15"/>
        <v>29935.077673375581</v>
      </c>
    </row>
    <row r="35" spans="1:32" x14ac:dyDescent="0.25">
      <c r="A35">
        <v>30</v>
      </c>
      <c r="B35" s="47">
        <v>9.1200000000000003E-2</v>
      </c>
      <c r="C35" s="58"/>
      <c r="D35" s="51">
        <f t="shared" si="22"/>
        <v>0.81513501966901458</v>
      </c>
      <c r="E35" s="51">
        <f t="shared" si="16"/>
        <v>1.338920860166013</v>
      </c>
      <c r="F35" s="51">
        <f t="shared" si="21"/>
        <v>17.267138508029184</v>
      </c>
      <c r="G35" s="51">
        <f t="shared" si="17"/>
        <v>22.226492158644415</v>
      </c>
      <c r="H35" s="51">
        <f t="shared" si="20"/>
        <v>981.91772647230175</v>
      </c>
      <c r="I35" s="51">
        <f t="shared" si="18"/>
        <v>976.43458698118957</v>
      </c>
      <c r="K35" s="51">
        <f t="shared" si="2"/>
        <v>18.082273527698199</v>
      </c>
      <c r="L35" s="51">
        <f t="shared" si="3"/>
        <v>13.724732149707451</v>
      </c>
      <c r="M35" s="51">
        <f t="shared" si="4"/>
        <v>3.1483070110694302</v>
      </c>
      <c r="N35" s="51">
        <f t="shared" si="5"/>
        <v>2.3896149112989553</v>
      </c>
      <c r="O35" s="47"/>
      <c r="P35" s="51">
        <f>(D35*cAsymp+'Markov Model'!F35*cProg)/((1+cDR)^ncycle)</f>
        <v>9090.1128707472544</v>
      </c>
      <c r="Q35" s="47">
        <f t="shared" si="6"/>
        <v>615.3073360486967</v>
      </c>
      <c r="R35" s="51">
        <f t="shared" si="7"/>
        <v>9705.4202067959504</v>
      </c>
      <c r="U35" s="51">
        <f t="shared" si="19"/>
        <v>16.243555649597852</v>
      </c>
      <c r="V35" s="51">
        <f t="shared" si="8"/>
        <v>34.168131114415786</v>
      </c>
      <c r="W35" s="51">
        <f t="shared" si="9"/>
        <v>949.58831323598633</v>
      </c>
      <c r="Y35" s="51">
        <f t="shared" si="10"/>
        <v>50.411686764013638</v>
      </c>
      <c r="Z35" s="51">
        <f t="shared" si="11"/>
        <v>41.057476202929799</v>
      </c>
      <c r="AA35" s="51">
        <f t="shared" si="12"/>
        <v>8.7771853819083034</v>
      </c>
      <c r="AB35" s="51">
        <f t="shared" si="13"/>
        <v>7.1485225565523587</v>
      </c>
      <c r="AD35" s="51">
        <f>(U35*(cAsymp+cDrug)+'Markov Model'!V35*cProg)/((1+cDR)^ncycle)</f>
        <v>22089.304744816429</v>
      </c>
      <c r="AE35" s="47">
        <f t="shared" si="14"/>
        <v>1129.4163224344024</v>
      </c>
      <c r="AF35" s="51">
        <f t="shared" si="15"/>
        <v>23218.72106725083</v>
      </c>
    </row>
    <row r="36" spans="1:32" x14ac:dyDescent="0.25">
      <c r="A36">
        <v>31</v>
      </c>
      <c r="B36" s="47">
        <v>0.1958</v>
      </c>
      <c r="C36" s="58"/>
      <c r="D36" s="51">
        <f t="shared" si="22"/>
        <v>0.40283972672057189</v>
      </c>
      <c r="E36" s="51">
        <f t="shared" si="16"/>
        <v>0.81513501966901458</v>
      </c>
      <c r="F36" s="51">
        <f t="shared" si="21"/>
        <v>11.548853868050086</v>
      </c>
      <c r="G36" s="51">
        <f t="shared" si="17"/>
        <v>17.267138508029184</v>
      </c>
      <c r="H36" s="51">
        <f t="shared" si="20"/>
        <v>988.04830640522937</v>
      </c>
      <c r="I36" s="51">
        <f t="shared" si="18"/>
        <v>981.91772647230175</v>
      </c>
      <c r="K36" s="51">
        <f t="shared" si="2"/>
        <v>11.951693594770658</v>
      </c>
      <c r="L36" s="51">
        <f t="shared" si="3"/>
        <v>9.0443381414221076</v>
      </c>
      <c r="M36" s="51">
        <f t="shared" si="4"/>
        <v>1.9631235248955736</v>
      </c>
      <c r="N36" s="51">
        <f t="shared" si="5"/>
        <v>1.4855763186821183</v>
      </c>
      <c r="O36" s="47"/>
      <c r="P36" s="51">
        <f>(D36*cAsymp+'Markov Model'!F36*cProg)/((1+cDR)^ncycle)</f>
        <v>5723.949637056242</v>
      </c>
      <c r="Q36" s="47">
        <f t="shared" si="6"/>
        <v>450.95756191275234</v>
      </c>
      <c r="R36" s="51">
        <f t="shared" si="7"/>
        <v>6174.9071989689946</v>
      </c>
      <c r="U36" s="51">
        <f t="shared" si="19"/>
        <v>10.545316327718979</v>
      </c>
      <c r="V36" s="51">
        <f t="shared" si="8"/>
        <v>24.870542500738473</v>
      </c>
      <c r="W36" s="51">
        <f t="shared" si="9"/>
        <v>964.58414117154257</v>
      </c>
      <c r="Y36" s="51">
        <f t="shared" si="10"/>
        <v>35.415858828457452</v>
      </c>
      <c r="Z36" s="51">
        <f t="shared" si="11"/>
        <v>28.670957386886883</v>
      </c>
      <c r="AA36" s="51">
        <f t="shared" si="12"/>
        <v>5.8172262423917624</v>
      </c>
      <c r="AB36" s="51">
        <f t="shared" si="13"/>
        <v>4.7093435320415953</v>
      </c>
      <c r="AD36" s="51">
        <f>(U36*(cAsymp+cDrug)+'Markov Model'!V36*cProg)/((1+cDR)^ncycle)</f>
        <v>14853.499850316985</v>
      </c>
      <c r="AE36" s="47">
        <f t="shared" si="14"/>
        <v>892.35266719539732</v>
      </c>
      <c r="AF36" s="51">
        <f t="shared" si="15"/>
        <v>15745.852517512381</v>
      </c>
    </row>
    <row r="37" spans="1:32" x14ac:dyDescent="0.25">
      <c r="A37">
        <v>32</v>
      </c>
      <c r="B37" s="47">
        <v>0.1958</v>
      </c>
      <c r="C37" s="58"/>
      <c r="D37" s="51">
        <f t="shared" si="22"/>
        <v>0.19505499567810602</v>
      </c>
      <c r="E37" s="51">
        <f t="shared" si="16"/>
        <v>0.40283972672057189</v>
      </c>
      <c r="F37" s="51">
        <f t="shared" si="21"/>
        <v>7.6841689130289499</v>
      </c>
      <c r="G37" s="51">
        <f t="shared" si="17"/>
        <v>11.548853868050086</v>
      </c>
      <c r="H37" s="51">
        <f t="shared" si="20"/>
        <v>992.1207760912929</v>
      </c>
      <c r="I37" s="51">
        <f t="shared" si="18"/>
        <v>988.04830640522937</v>
      </c>
      <c r="K37" s="51">
        <f t="shared" si="2"/>
        <v>7.8792239087070559</v>
      </c>
      <c r="L37" s="51">
        <f t="shared" si="3"/>
        <v>5.9484289306659139</v>
      </c>
      <c r="M37" s="51">
        <f t="shared" si="4"/>
        <v>1.2209440247589756</v>
      </c>
      <c r="N37" s="51">
        <f t="shared" si="5"/>
        <v>0.92175306143720759</v>
      </c>
      <c r="O37" s="47"/>
      <c r="P37" s="51">
        <f>(D37*cAsymp+'Markov Model'!F37*cProg)/((1+cDR)^ncycle)</f>
        <v>3587.2690384272287</v>
      </c>
      <c r="Q37" s="47">
        <f t="shared" si="6"/>
        <v>284.54327247650735</v>
      </c>
      <c r="R37" s="51">
        <f t="shared" si="7"/>
        <v>3871.812310903736</v>
      </c>
      <c r="U37" s="51">
        <f t="shared" si="19"/>
        <v>6.7932927783165269</v>
      </c>
      <c r="V37" s="51">
        <f t="shared" si="8"/>
        <v>17.957559516418147</v>
      </c>
      <c r="W37" s="51">
        <f t="shared" si="9"/>
        <v>975.24914770526527</v>
      </c>
      <c r="Y37" s="51">
        <f t="shared" si="10"/>
        <v>24.750852294734674</v>
      </c>
      <c r="Z37" s="51">
        <f t="shared" si="11"/>
        <v>19.92179777671431</v>
      </c>
      <c r="AA37" s="51">
        <f t="shared" si="12"/>
        <v>3.8353276372250149</v>
      </c>
      <c r="AB37" s="51">
        <f t="shared" si="13"/>
        <v>3.0870299206825482</v>
      </c>
      <c r="AD37" s="51">
        <f>(U37*(cAsymp+cDrug)+'Markov Model'!V37*cProg)/((1+cDR)^ncycle)</f>
        <v>9926.97646594664</v>
      </c>
      <c r="AE37" s="47">
        <f t="shared" si="14"/>
        <v>612.76604867293418</v>
      </c>
      <c r="AF37" s="51">
        <f t="shared" si="15"/>
        <v>10539.742514619575</v>
      </c>
    </row>
    <row r="38" spans="1:32" x14ac:dyDescent="0.25">
      <c r="A38">
        <v>33</v>
      </c>
      <c r="B38" s="47">
        <v>0.1958</v>
      </c>
      <c r="C38" s="58"/>
      <c r="D38" s="51">
        <f t="shared" si="22"/>
        <v>9.2495078950605603E-2</v>
      </c>
      <c r="E38" s="51">
        <f t="shared" si="16"/>
        <v>0.19505499567810602</v>
      </c>
      <c r="F38" s="51">
        <f t="shared" si="21"/>
        <v>5.0913514514773137</v>
      </c>
      <c r="G38" s="51">
        <f t="shared" si="17"/>
        <v>7.6841689130289499</v>
      </c>
      <c r="H38" s="51">
        <f t="shared" si="20"/>
        <v>994.8161534695721</v>
      </c>
      <c r="I38" s="51">
        <f t="shared" si="18"/>
        <v>992.1207760912929</v>
      </c>
      <c r="K38" s="51">
        <f t="shared" si="2"/>
        <v>5.1838465304279193</v>
      </c>
      <c r="L38" s="51">
        <f t="shared" si="3"/>
        <v>3.9063839136110605</v>
      </c>
      <c r="M38" s="51">
        <f t="shared" si="4"/>
        <v>0.75780694636633117</v>
      </c>
      <c r="N38" s="51">
        <f t="shared" si="5"/>
        <v>0.57105951102757446</v>
      </c>
      <c r="O38" s="47"/>
      <c r="P38" s="51">
        <f>(D38*cAsymp+'Markov Model'!F38*cProg)/((1+cDR)^ncycle)</f>
        <v>2239.6170734386678</v>
      </c>
      <c r="Q38" s="47">
        <f t="shared" si="6"/>
        <v>178.60782156286444</v>
      </c>
      <c r="R38" s="51">
        <f t="shared" si="7"/>
        <v>2418.2248950015323</v>
      </c>
      <c r="U38" s="51">
        <f t="shared" si="19"/>
        <v>4.3422727438999118</v>
      </c>
      <c r="V38" s="51">
        <f t="shared" si="8"/>
        <v>12.868728744062979</v>
      </c>
      <c r="W38" s="51">
        <f t="shared" si="9"/>
        <v>982.7889985120371</v>
      </c>
      <c r="Y38" s="51">
        <f t="shared" si="10"/>
        <v>17.211001487962889</v>
      </c>
      <c r="Z38" s="51">
        <f t="shared" si="11"/>
        <v>13.77670566475215</v>
      </c>
      <c r="AA38" s="51">
        <f t="shared" si="12"/>
        <v>2.516011306457965</v>
      </c>
      <c r="AB38" s="51">
        <f t="shared" si="13"/>
        <v>2.0139645704232971</v>
      </c>
      <c r="AD38" s="51">
        <f>(U38*(cAsymp+cDrug)+'Markov Model'!V38*cProg)/((1+cDR)^ncycle)</f>
        <v>6595.8632400252236</v>
      </c>
      <c r="AE38" s="47">
        <f t="shared" si="14"/>
        <v>417.39850101091179</v>
      </c>
      <c r="AF38" s="51">
        <f t="shared" si="15"/>
        <v>7013.2617410361354</v>
      </c>
    </row>
    <row r="39" spans="1:32" x14ac:dyDescent="0.25">
      <c r="A39">
        <v>34</v>
      </c>
      <c r="B39" s="47">
        <v>0.1958</v>
      </c>
      <c r="C39" s="58"/>
      <c r="D39" s="51">
        <f t="shared" si="22"/>
        <v>4.2936215648865073E-2</v>
      </c>
      <c r="E39" s="51">
        <f t="shared" si="16"/>
        <v>9.2495078950605603E-2</v>
      </c>
      <c r="F39" s="51">
        <f t="shared" si="21"/>
        <v>3.3622104463996645</v>
      </c>
      <c r="G39" s="51">
        <f t="shared" si="17"/>
        <v>5.0913514514773137</v>
      </c>
      <c r="H39" s="51">
        <f t="shared" si="20"/>
        <v>996.59485333795146</v>
      </c>
      <c r="I39" s="51">
        <f t="shared" si="18"/>
        <v>994.8161534695721</v>
      </c>
      <c r="K39" s="51">
        <f t="shared" si="2"/>
        <v>3.4051466620485296</v>
      </c>
      <c r="L39" s="51">
        <f t="shared" si="3"/>
        <v>2.5624472396661702</v>
      </c>
      <c r="M39" s="51">
        <f t="shared" si="4"/>
        <v>0.46960899080421925</v>
      </c>
      <c r="N39" s="51">
        <f t="shared" si="5"/>
        <v>0.35339102295369434</v>
      </c>
      <c r="O39" s="47"/>
      <c r="P39" s="51">
        <f>(D39*cAsymp+'Markov Model'!F39*cProg)/((1+cDR)^ncycle)</f>
        <v>1394.0234742810342</v>
      </c>
      <c r="Q39" s="47">
        <f t="shared" si="6"/>
        <v>111.64281601533014</v>
      </c>
      <c r="R39" s="51">
        <f t="shared" si="7"/>
        <v>1505.6662902963644</v>
      </c>
      <c r="U39" s="51">
        <f t="shared" si="19"/>
        <v>2.7538693741813631</v>
      </c>
      <c r="V39" s="51">
        <f t="shared" si="8"/>
        <v>9.1569087108289864</v>
      </c>
      <c r="W39" s="51">
        <f t="shared" si="9"/>
        <v>988.08922191498971</v>
      </c>
      <c r="Y39" s="51">
        <f t="shared" si="10"/>
        <v>11.91077808501035</v>
      </c>
      <c r="Z39" s="51">
        <f t="shared" si="11"/>
        <v>9.4838574385940344</v>
      </c>
      <c r="AA39" s="51">
        <f t="shared" si="12"/>
        <v>1.6426336458676167</v>
      </c>
      <c r="AB39" s="51">
        <f t="shared" si="13"/>
        <v>1.3079333029344153</v>
      </c>
      <c r="AD39" s="51">
        <f>(U39*(cAsymp+cDrug)+'Markov Model'!V39*cProg)/((1+cDR)^ncycle)</f>
        <v>4358.2154236000797</v>
      </c>
      <c r="AE39" s="47">
        <f t="shared" si="14"/>
        <v>282.18462803382749</v>
      </c>
      <c r="AF39" s="51">
        <f t="shared" si="15"/>
        <v>4640.4000516339074</v>
      </c>
    </row>
    <row r="40" spans="1:32" x14ac:dyDescent="0.25">
      <c r="A40">
        <v>35</v>
      </c>
      <c r="B40" s="47">
        <v>0.1958</v>
      </c>
      <c r="C40" s="58"/>
      <c r="D40" s="51">
        <f t="shared" si="22"/>
        <v>1.9501629147612221E-2</v>
      </c>
      <c r="E40" s="51">
        <f t="shared" si="16"/>
        <v>4.2936215648865073E-2</v>
      </c>
      <c r="F40" s="51">
        <f t="shared" si="21"/>
        <v>2.2145857495117629</v>
      </c>
      <c r="G40" s="51">
        <f t="shared" si="17"/>
        <v>3.3622104463996645</v>
      </c>
      <c r="H40" s="51">
        <f t="shared" si="20"/>
        <v>997.76591262134059</v>
      </c>
      <c r="I40" s="51">
        <f t="shared" si="18"/>
        <v>996.59485333795146</v>
      </c>
      <c r="K40" s="51">
        <f t="shared" si="2"/>
        <v>2.2340873786593751</v>
      </c>
      <c r="L40" s="51">
        <f t="shared" si="3"/>
        <v>1.6794658598240539</v>
      </c>
      <c r="M40" s="51">
        <f t="shared" si="4"/>
        <v>0.29066642610566362</v>
      </c>
      <c r="N40" s="51">
        <f t="shared" si="5"/>
        <v>0.21850727232274572</v>
      </c>
      <c r="O40" s="47"/>
      <c r="P40" s="51">
        <f>(D40*cAsymp+'Markov Model'!F40*cProg)/((1+cDR)^ncycle)</f>
        <v>865.65611902326634</v>
      </c>
      <c r="Q40" s="47">
        <f t="shared" si="6"/>
        <v>69.553138732735462</v>
      </c>
      <c r="R40" s="51">
        <f t="shared" si="7"/>
        <v>935.20925775600176</v>
      </c>
      <c r="U40" s="51">
        <f t="shared" si="19"/>
        <v>1.7327346102348429</v>
      </c>
      <c r="V40" s="51">
        <f t="shared" si="8"/>
        <v>6.4723768191060618</v>
      </c>
      <c r="W40" s="51">
        <f t="shared" si="9"/>
        <v>991.79488857065905</v>
      </c>
      <c r="Y40" s="51">
        <f t="shared" si="10"/>
        <v>8.2051114293409046</v>
      </c>
      <c r="Z40" s="51">
        <f t="shared" si="11"/>
        <v>6.5003804940526475</v>
      </c>
      <c r="AA40" s="51">
        <f t="shared" si="12"/>
        <v>1.0675278137045869</v>
      </c>
      <c r="AB40" s="51">
        <f t="shared" si="13"/>
        <v>0.84573342322316081</v>
      </c>
      <c r="AD40" s="51">
        <f>(U40*(cAsymp+cDrug)+'Markov Model'!V40*cProg)/((1+cDR)^ncycle)</f>
        <v>2864.4267190283563</v>
      </c>
      <c r="AE40" s="47">
        <f t="shared" si="14"/>
        <v>189.42649547986548</v>
      </c>
      <c r="AF40" s="51">
        <f t="shared" si="15"/>
        <v>3053.8532145082218</v>
      </c>
    </row>
    <row r="41" spans="1:32" x14ac:dyDescent="0.25">
      <c r="A41">
        <v>36</v>
      </c>
      <c r="B41" s="47">
        <v>0.1958</v>
      </c>
      <c r="C41" s="58"/>
      <c r="D41" s="51">
        <f t="shared" si="22"/>
        <v>8.6626236674192114E-3</v>
      </c>
      <c r="E41" s="51">
        <f t="shared" si="16"/>
        <v>1.9501629147612221E-2</v>
      </c>
      <c r="F41" s="51">
        <f t="shared" si="21"/>
        <v>1.4558025838237356</v>
      </c>
      <c r="G41" s="51">
        <f t="shared" si="17"/>
        <v>2.2145857495117629</v>
      </c>
      <c r="H41" s="51">
        <f t="shared" si="20"/>
        <v>998.53553479250888</v>
      </c>
      <c r="I41" s="51">
        <f t="shared" si="18"/>
        <v>997.76591262134059</v>
      </c>
      <c r="K41" s="51">
        <f t="shared" si="2"/>
        <v>1.4644652074911548</v>
      </c>
      <c r="L41" s="51">
        <f t="shared" si="3"/>
        <v>1.10008143035185</v>
      </c>
      <c r="M41" s="51">
        <f t="shared" si="4"/>
        <v>0.17974959010939162</v>
      </c>
      <c r="N41" s="51">
        <f t="shared" si="5"/>
        <v>0.13502484400531078</v>
      </c>
      <c r="O41" s="47"/>
      <c r="P41" s="51">
        <f>(D41*cAsymp+'Markov Model'!F41*cProg)/((1+cDR)^ncycle)</f>
        <v>536.59062753733645</v>
      </c>
      <c r="Q41" s="47">
        <f t="shared" si="6"/>
        <v>43.219374358226062</v>
      </c>
      <c r="R41" s="51">
        <f t="shared" si="7"/>
        <v>579.81000189556255</v>
      </c>
      <c r="U41" s="51">
        <f t="shared" si="19"/>
        <v>1.0815729437085793</v>
      </c>
      <c r="V41" s="51">
        <f t="shared" si="8"/>
        <v>4.5461211449014574</v>
      </c>
      <c r="W41" s="51">
        <f t="shared" si="9"/>
        <v>994.37230591138996</v>
      </c>
      <c r="Y41" s="51">
        <f t="shared" si="10"/>
        <v>5.6276940886100366</v>
      </c>
      <c r="Z41" s="51">
        <f t="shared" si="11"/>
        <v>4.4370851551992434</v>
      </c>
      <c r="AA41" s="51">
        <f t="shared" si="12"/>
        <v>0.69074751691894332</v>
      </c>
      <c r="AB41" s="51">
        <f t="shared" si="13"/>
        <v>0.54461125730250404</v>
      </c>
      <c r="AD41" s="51">
        <f>(U41*(cAsymp+cDrug)+'Markov Model'!V41*cProg)/((1+cDR)^ncycle)</f>
        <v>1873.1129036571058</v>
      </c>
      <c r="AE41" s="47">
        <f t="shared" si="14"/>
        <v>126.31349984714758</v>
      </c>
      <c r="AF41" s="51">
        <f t="shared" si="15"/>
        <v>1999.4264035042534</v>
      </c>
    </row>
    <row r="42" spans="1:32" x14ac:dyDescent="0.25">
      <c r="A42">
        <v>37</v>
      </c>
      <c r="B42" s="47">
        <v>0.1958</v>
      </c>
      <c r="C42" s="58"/>
      <c r="D42" s="51">
        <f t="shared" si="22"/>
        <v>3.7613111962855328E-3</v>
      </c>
      <c r="E42" s="51">
        <f t="shared" si="16"/>
        <v>8.6626236674192114E-3</v>
      </c>
      <c r="F42" s="51">
        <f t="shared" si="21"/>
        <v>0.95559122109443295</v>
      </c>
      <c r="G42" s="51">
        <f t="shared" si="17"/>
        <v>1.4558025838237356</v>
      </c>
      <c r="H42" s="51">
        <f t="shared" si="20"/>
        <v>999.04064746770928</v>
      </c>
      <c r="I42" s="51">
        <f t="shared" si="18"/>
        <v>998.53553479250888</v>
      </c>
      <c r="K42" s="51">
        <f t="shared" si="2"/>
        <v>0.95935253229071848</v>
      </c>
      <c r="L42" s="51">
        <f t="shared" si="3"/>
        <v>0.7202666614572959</v>
      </c>
      <c r="M42" s="51">
        <f t="shared" si="4"/>
        <v>0.11108648152547269</v>
      </c>
      <c r="N42" s="51">
        <f t="shared" si="5"/>
        <v>8.3401967981821409E-2</v>
      </c>
      <c r="O42" s="47"/>
      <c r="P42" s="51">
        <f>(D42*cAsymp+'Markov Model'!F42*cProg)/((1+cDR)^ncycle)</f>
        <v>332.17060910495684</v>
      </c>
      <c r="Q42" s="47">
        <f t="shared" si="6"/>
        <v>26.802949948958439</v>
      </c>
      <c r="R42" s="51">
        <f t="shared" si="7"/>
        <v>358.97355905391527</v>
      </c>
      <c r="U42" s="51">
        <f t="shared" si="19"/>
        <v>0.66970996674433536</v>
      </c>
      <c r="V42" s="51">
        <f t="shared" si="8"/>
        <v>3.1741634475806206</v>
      </c>
      <c r="W42" s="51">
        <f t="shared" si="9"/>
        <v>996.156126585675</v>
      </c>
      <c r="Y42" s="51">
        <f t="shared" si="10"/>
        <v>3.843873414324956</v>
      </c>
      <c r="Z42" s="51">
        <f t="shared" si="11"/>
        <v>3.016847054092584</v>
      </c>
      <c r="AA42" s="51">
        <f t="shared" si="12"/>
        <v>0.44509433045126701</v>
      </c>
      <c r="AB42" s="51">
        <f t="shared" si="13"/>
        <v>0.34933031733331138</v>
      </c>
      <c r="AD42" s="51">
        <f>(U42*(cAsymp+cDrug)+'Markov Model'!V42*cProg)/((1+cDR)^ncycle)</f>
        <v>1218.9612201423424</v>
      </c>
      <c r="AE42" s="47">
        <f t="shared" si="14"/>
        <v>83.699162827869088</v>
      </c>
      <c r="AF42" s="51">
        <f t="shared" si="15"/>
        <v>1302.6603829702115</v>
      </c>
    </row>
    <row r="43" spans="1:32" x14ac:dyDescent="0.25">
      <c r="A43">
        <v>38</v>
      </c>
      <c r="B43" s="47">
        <v>0.1958</v>
      </c>
      <c r="C43" s="58"/>
      <c r="D43" s="51">
        <f t="shared" si="22"/>
        <v>1.5955482094796025E-3</v>
      </c>
      <c r="E43" s="51">
        <f t="shared" si="16"/>
        <v>3.7613111962855328E-3</v>
      </c>
      <c r="F43" s="51">
        <f t="shared" si="21"/>
        <v>0.6265770750945665</v>
      </c>
      <c r="G43" s="51">
        <f t="shared" si="17"/>
        <v>0.95559122109443295</v>
      </c>
      <c r="H43" s="51">
        <f t="shared" si="20"/>
        <v>999.37182737669593</v>
      </c>
      <c r="I43" s="51">
        <f t="shared" si="18"/>
        <v>999.04064746770928</v>
      </c>
      <c r="K43" s="51">
        <f t="shared" si="2"/>
        <v>0.62817262330404611</v>
      </c>
      <c r="L43" s="51">
        <f t="shared" si="3"/>
        <v>0.47144857711993049</v>
      </c>
      <c r="M43" s="51">
        <f t="shared" si="4"/>
        <v>6.8620855039861942E-2</v>
      </c>
      <c r="N43" s="51">
        <f t="shared" si="5"/>
        <v>5.150050045023595E-2</v>
      </c>
      <c r="O43" s="47"/>
      <c r="P43" s="51">
        <f>(D43*cAsymp+'Markov Model'!F43*cProg)/((1+cDR)^ncycle)</f>
        <v>205.42682549034217</v>
      </c>
      <c r="Q43" s="47">
        <f t="shared" si="6"/>
        <v>16.597642100533228</v>
      </c>
      <c r="R43" s="51">
        <f t="shared" si="7"/>
        <v>222.02446759087539</v>
      </c>
      <c r="U43" s="51">
        <f t="shared" si="19"/>
        <v>0.41133586157445734</v>
      </c>
      <c r="V43" s="51">
        <f t="shared" si="8"/>
        <v>2.2037826210886657</v>
      </c>
      <c r="W43" s="51">
        <f t="shared" si="9"/>
        <v>997.38488151733691</v>
      </c>
      <c r="Y43" s="51">
        <f t="shared" si="10"/>
        <v>2.6151184826631231</v>
      </c>
      <c r="Z43" s="51">
        <f t="shared" si="11"/>
        <v>2.043606034312234</v>
      </c>
      <c r="AA43" s="51">
        <f t="shared" si="12"/>
        <v>0.28567253594563652</v>
      </c>
      <c r="AB43" s="51">
        <f t="shared" si="13"/>
        <v>0.22324117326464787</v>
      </c>
      <c r="AD43" s="51">
        <f>(U43*(cAsymp+cDrug)+'Markov Model'!V43*cProg)/((1+cDR)^ncycle)</f>
        <v>789.61682304625583</v>
      </c>
      <c r="AE43" s="47">
        <f t="shared" si="14"/>
        <v>55.131972446544204</v>
      </c>
      <c r="AF43" s="51">
        <f t="shared" si="15"/>
        <v>844.74879549280001</v>
      </c>
    </row>
    <row r="44" spans="1:32" x14ac:dyDescent="0.25">
      <c r="A44">
        <v>39</v>
      </c>
      <c r="B44" s="47">
        <v>0.1958</v>
      </c>
      <c r="C44" s="58"/>
      <c r="D44" s="51">
        <f t="shared" si="22"/>
        <v>6.6087606842302193E-4</v>
      </c>
      <c r="E44" s="51">
        <f t="shared" si="16"/>
        <v>1.5955482094796025E-3</v>
      </c>
      <c r="F44" s="51">
        <f t="shared" si="21"/>
        <v>0.41052898632856244</v>
      </c>
      <c r="G44" s="51">
        <f t="shared" si="17"/>
        <v>0.6265770750945665</v>
      </c>
      <c r="H44" s="51">
        <f t="shared" si="20"/>
        <v>999.58881013760299</v>
      </c>
      <c r="I44" s="51">
        <f t="shared" si="18"/>
        <v>999.37182737669593</v>
      </c>
      <c r="K44" s="51">
        <f t="shared" si="2"/>
        <v>0.41118986239698546</v>
      </c>
      <c r="L44" s="51">
        <f t="shared" si="3"/>
        <v>0.30852457201142369</v>
      </c>
      <c r="M44" s="51">
        <f t="shared" si="4"/>
        <v>4.2375384664941958E-2</v>
      </c>
      <c r="N44" s="51">
        <f t="shared" si="5"/>
        <v>3.1795159883947842E-2</v>
      </c>
      <c r="O44" s="47"/>
      <c r="P44" s="51">
        <f>(D44*cAsymp+'Markov Model'!F44*cProg)/((1+cDR)^ncycle)</f>
        <v>126.95588667930873</v>
      </c>
      <c r="Q44" s="47">
        <f t="shared" si="6"/>
        <v>10.266983878224671</v>
      </c>
      <c r="R44" s="51">
        <f t="shared" si="7"/>
        <v>137.22287055753341</v>
      </c>
      <c r="U44" s="51">
        <f t="shared" si="19"/>
        <v>0.25058580687118592</v>
      </c>
      <c r="V44" s="51">
        <f t="shared" si="8"/>
        <v>1.5219250837232243</v>
      </c>
      <c r="W44" s="51">
        <f t="shared" si="9"/>
        <v>998.22748910940561</v>
      </c>
      <c r="Y44" s="51">
        <f t="shared" si="10"/>
        <v>1.7725108905944102</v>
      </c>
      <c r="Z44" s="51">
        <f t="shared" si="11"/>
        <v>1.3795003293200447</v>
      </c>
      <c r="AA44" s="51">
        <f t="shared" si="12"/>
        <v>0.18266702971198456</v>
      </c>
      <c r="AB44" s="51">
        <f t="shared" si="13"/>
        <v>0.14216512235876458</v>
      </c>
      <c r="AD44" s="51">
        <f>(U44*(cAsymp+cDrug)+'Markov Model'!V44*cProg)/((1+cDR)^ncycle)</f>
        <v>509.26471357513242</v>
      </c>
      <c r="AE44" s="47">
        <f t="shared" si="14"/>
        <v>36.110801912780119</v>
      </c>
      <c r="AF44" s="51">
        <f t="shared" si="15"/>
        <v>545.37551548791248</v>
      </c>
    </row>
    <row r="45" spans="1:32" x14ac:dyDescent="0.25">
      <c r="A45">
        <v>40</v>
      </c>
      <c r="B45" s="47">
        <v>0.1958</v>
      </c>
      <c r="C45" s="58"/>
      <c r="D45" s="51">
        <f t="shared" si="22"/>
        <v>2.6712610690537986E-4</v>
      </c>
      <c r="E45" s="51">
        <f t="shared" si="16"/>
        <v>6.6087606842302193E-4</v>
      </c>
      <c r="F45" s="51">
        <f t="shared" si="21"/>
        <v>0.26883241328351476</v>
      </c>
      <c r="G45" s="51">
        <f t="shared" si="17"/>
        <v>0.41052898632856244</v>
      </c>
      <c r="H45" s="51">
        <f t="shared" si="20"/>
        <v>999.73090046060963</v>
      </c>
      <c r="I45" s="51">
        <f t="shared" si="18"/>
        <v>999.58881013760299</v>
      </c>
      <c r="K45" s="51">
        <f t="shared" si="2"/>
        <v>0.26909953939042014</v>
      </c>
      <c r="L45" s="51">
        <f t="shared" si="3"/>
        <v>0.20187807976419619</v>
      </c>
      <c r="M45" s="51">
        <f t="shared" si="4"/>
        <v>2.6162445930887821E-2</v>
      </c>
      <c r="N45" s="51">
        <f t="shared" si="5"/>
        <v>1.9627028565067348E-2</v>
      </c>
      <c r="O45" s="47"/>
      <c r="P45" s="51">
        <f>(D45*cAsymp+'Markov Model'!F45*cProg)/((1+cDR)^ncycle)</f>
        <v>78.422411331394969</v>
      </c>
      <c r="Q45" s="47">
        <f t="shared" si="6"/>
        <v>6.3460916608102655</v>
      </c>
      <c r="R45" s="51">
        <f t="shared" si="7"/>
        <v>84.768502992205228</v>
      </c>
      <c r="U45" s="51">
        <f t="shared" si="19"/>
        <v>0.15140394451157135</v>
      </c>
      <c r="V45" s="51">
        <f t="shared" si="8"/>
        <v>1.0457605511459707</v>
      </c>
      <c r="W45" s="51">
        <f t="shared" si="9"/>
        <v>998.80283550434251</v>
      </c>
      <c r="Y45" s="51">
        <f t="shared" si="10"/>
        <v>1.197164495657542</v>
      </c>
      <c r="Z45" s="51">
        <f t="shared" si="11"/>
        <v>0.92815416064547074</v>
      </c>
      <c r="AA45" s="51">
        <f t="shared" si="12"/>
        <v>0.11639095131477598</v>
      </c>
      <c r="AB45" s="51">
        <f t="shared" si="13"/>
        <v>9.0237178028704415E-2</v>
      </c>
      <c r="AD45" s="51">
        <f>(U45*(cAsymp+cDrug)+'Markov Model'!V45*cProg)/((1+cDR)^ncycle)</f>
        <v>327.09311987465975</v>
      </c>
      <c r="AE45" s="47">
        <f t="shared" si="14"/>
        <v>23.526416900715557</v>
      </c>
      <c r="AF45" s="51">
        <f t="shared" si="15"/>
        <v>350.61953677537531</v>
      </c>
    </row>
    <row r="46" spans="1:32" x14ac:dyDescent="0.25">
      <c r="A46">
        <v>41</v>
      </c>
      <c r="B46" s="47">
        <v>0.1958</v>
      </c>
      <c r="C46" s="58"/>
      <c r="D46" s="51">
        <f t="shared" si="22"/>
        <v>1.0530111137541098E-4</v>
      </c>
      <c r="E46" s="51">
        <f t="shared" si="16"/>
        <v>2.6712610690537986E-4</v>
      </c>
      <c r="F46" s="51">
        <f t="shared" si="21"/>
        <v>0.17597968647390658</v>
      </c>
      <c r="G46" s="51">
        <f t="shared" si="17"/>
        <v>0.26883241328351476</v>
      </c>
      <c r="H46" s="51">
        <f t="shared" si="20"/>
        <v>999.82391501241477</v>
      </c>
      <c r="I46" s="51">
        <f t="shared" si="18"/>
        <v>999.73090046060963</v>
      </c>
      <c r="K46" s="51">
        <f t="shared" si="2"/>
        <v>0.17608498758528199</v>
      </c>
      <c r="L46" s="51">
        <f t="shared" si="3"/>
        <v>0.13208480091123656</v>
      </c>
      <c r="M46" s="51">
        <f t="shared" si="4"/>
        <v>1.6150346901571855E-2</v>
      </c>
      <c r="N46" s="51">
        <f t="shared" si="5"/>
        <v>1.2114691799653616E-2</v>
      </c>
      <c r="O46" s="47"/>
      <c r="P46" s="51">
        <f>(D46*cAsymp+'Markov Model'!F46*cProg)/((1+cDR)^ncycle)</f>
        <v>48.426895411281471</v>
      </c>
      <c r="Q46" s="47">
        <f t="shared" si="6"/>
        <v>3.9204713019570634</v>
      </c>
      <c r="R46" s="51">
        <f t="shared" si="7"/>
        <v>52.347366713238536</v>
      </c>
      <c r="U46" s="51">
        <f t="shared" si="19"/>
        <v>9.0721243551229236E-2</v>
      </c>
      <c r="V46" s="51">
        <f t="shared" si="8"/>
        <v>0.71517436118456612</v>
      </c>
      <c r="W46" s="51">
        <f t="shared" si="9"/>
        <v>999.19410439526416</v>
      </c>
      <c r="Y46" s="51">
        <f t="shared" si="10"/>
        <v>0.80589560473579536</v>
      </c>
      <c r="Z46" s="51">
        <f t="shared" si="11"/>
        <v>0.62256595226209244</v>
      </c>
      <c r="AA46" s="51">
        <f t="shared" si="12"/>
        <v>7.3915975242531254E-2</v>
      </c>
      <c r="AB46" s="51">
        <f t="shared" si="13"/>
        <v>5.7101154595990272E-2</v>
      </c>
      <c r="AD46" s="51">
        <f>(U46*(cAsymp+cDrug)+'Markov Model'!V46*cProg)/((1+cDR)^ncycle)</f>
        <v>209.26662699690507</v>
      </c>
      <c r="AE46" s="47">
        <f t="shared" si="14"/>
        <v>15.25066929024957</v>
      </c>
      <c r="AF46" s="51">
        <f t="shared" si="15"/>
        <v>224.51729628715464</v>
      </c>
    </row>
    <row r="47" spans="1:32" x14ac:dyDescent="0.25">
      <c r="A47">
        <v>42</v>
      </c>
      <c r="B47" s="47">
        <v>0.1958</v>
      </c>
      <c r="C47" s="58"/>
      <c r="D47" s="51">
        <f t="shared" si="22"/>
        <v>4.0456686861034541E-5</v>
      </c>
      <c r="E47" s="51">
        <f t="shared" si="16"/>
        <v>1.0530111137541098E-4</v>
      </c>
      <c r="F47" s="51">
        <f t="shared" si="21"/>
        <v>0.11517013735800735</v>
      </c>
      <c r="G47" s="51">
        <f t="shared" si="17"/>
        <v>0.17597968647390658</v>
      </c>
      <c r="H47" s="51">
        <f t="shared" si="20"/>
        <v>999.88478940595508</v>
      </c>
      <c r="I47" s="51">
        <f t="shared" si="18"/>
        <v>999.82391501241477</v>
      </c>
      <c r="K47" s="51">
        <f t="shared" si="2"/>
        <v>0.11521059404486839</v>
      </c>
      <c r="L47" s="51">
        <f t="shared" si="3"/>
        <v>8.6416036871023491E-2</v>
      </c>
      <c r="M47" s="51">
        <f t="shared" si="4"/>
        <v>9.9688732647193225E-3</v>
      </c>
      <c r="N47" s="51">
        <f t="shared" si="5"/>
        <v>7.4773550709325261E-3</v>
      </c>
      <c r="O47" s="47"/>
      <c r="P47" s="51">
        <f>(D47*cAsymp+'Markov Model'!F47*cProg)/((1+cDR)^ncycle)</f>
        <v>29.897868264245034</v>
      </c>
      <c r="Q47" s="47">
        <f t="shared" si="6"/>
        <v>2.4211033176297327</v>
      </c>
      <c r="R47" s="51">
        <f t="shared" si="7"/>
        <v>32.318971581874763</v>
      </c>
      <c r="U47" s="51">
        <f t="shared" si="19"/>
        <v>5.3906562918200507E-2</v>
      </c>
      <c r="V47" s="51">
        <f t="shared" si="8"/>
        <v>0.48691852823270126</v>
      </c>
      <c r="W47" s="51">
        <f t="shared" si="9"/>
        <v>999.45917490884915</v>
      </c>
      <c r="Y47" s="51">
        <f t="shared" si="10"/>
        <v>0.54082509115090183</v>
      </c>
      <c r="Z47" s="51">
        <f t="shared" si="11"/>
        <v>0.41640013094681638</v>
      </c>
      <c r="AA47" s="51">
        <f t="shared" si="12"/>
        <v>4.679618950635691E-2</v>
      </c>
      <c r="AB47" s="51">
        <f t="shared" si="13"/>
        <v>3.603002108647E-2</v>
      </c>
      <c r="AD47" s="51">
        <f>(U47*(cAsymp+cDrug)+'Markov Model'!V47*cProg)/((1+cDR)^ncycle)</f>
        <v>133.39197634380329</v>
      </c>
      <c r="AE47" s="47">
        <f t="shared" si="14"/>
        <v>9.8392664133108205</v>
      </c>
      <c r="AF47" s="51">
        <f t="shared" si="15"/>
        <v>143.2312427571141</v>
      </c>
    </row>
    <row r="48" spans="1:32" x14ac:dyDescent="0.25">
      <c r="A48">
        <v>43</v>
      </c>
      <c r="B48" s="47">
        <v>0.1958</v>
      </c>
      <c r="C48" s="58"/>
      <c r="D48" s="51">
        <f t="shared" si="22"/>
        <v>1.5138892308641516E-5</v>
      </c>
      <c r="E48" s="51">
        <f t="shared" si="16"/>
        <v>4.0456686861034541E-5</v>
      </c>
      <c r="F48" s="51">
        <f t="shared" si="21"/>
        <v>7.5361700234958653E-2</v>
      </c>
      <c r="G48" s="51">
        <f t="shared" si="17"/>
        <v>0.11517013735800735</v>
      </c>
      <c r="H48" s="51">
        <f t="shared" si="20"/>
        <v>999.92462316087278</v>
      </c>
      <c r="I48" s="51">
        <f t="shared" si="18"/>
        <v>999.88478940595508</v>
      </c>
      <c r="K48" s="51">
        <f t="shared" si="2"/>
        <v>7.5376839127267295E-2</v>
      </c>
      <c r="L48" s="51">
        <f t="shared" si="3"/>
        <v>5.6535657123912203E-2</v>
      </c>
      <c r="M48" s="51">
        <f t="shared" si="4"/>
        <v>6.1529830014920104E-3</v>
      </c>
      <c r="N48" s="51">
        <f t="shared" si="5"/>
        <v>4.6149844075349979E-3</v>
      </c>
      <c r="O48" s="47"/>
      <c r="P48" s="51">
        <f>(D48*cAsymp+'Markov Model'!F48*cProg)/((1+cDR)^ncycle)</f>
        <v>18.455859549276166</v>
      </c>
      <c r="Q48" s="47">
        <f t="shared" si="6"/>
        <v>1.4948058979131225</v>
      </c>
      <c r="R48" s="51">
        <f t="shared" si="7"/>
        <v>19.950665447189287</v>
      </c>
      <c r="U48" s="51">
        <f t="shared" si="19"/>
        <v>3.1761746871325158E-2</v>
      </c>
      <c r="V48" s="51">
        <f t="shared" si="8"/>
        <v>0.33013201219724631</v>
      </c>
      <c r="W48" s="51">
        <f t="shared" si="9"/>
        <v>999.63810624093139</v>
      </c>
      <c r="Y48" s="51">
        <f t="shared" si="10"/>
        <v>0.36189375906857146</v>
      </c>
      <c r="Z48" s="51">
        <f t="shared" si="11"/>
        <v>0.27777266867569361</v>
      </c>
      <c r="AA48" s="51">
        <f t="shared" si="12"/>
        <v>2.9541251313753424E-2</v>
      </c>
      <c r="AB48" s="51">
        <f t="shared" si="13"/>
        <v>2.2674478373322281E-2</v>
      </c>
      <c r="AD48" s="51">
        <f>(U48*(cAsymp+cDrug)+'Markov Model'!V48*cProg)/((1+cDR)^ncycle)</f>
        <v>84.734704781206148</v>
      </c>
      <c r="AE48" s="47">
        <f t="shared" si="14"/>
        <v>6.3197692084267922</v>
      </c>
      <c r="AF48" s="51">
        <f t="shared" si="15"/>
        <v>91.054473989632939</v>
      </c>
    </row>
    <row r="49" spans="1:32" x14ac:dyDescent="0.25">
      <c r="A49">
        <v>44</v>
      </c>
      <c r="B49" s="47">
        <v>0.1958</v>
      </c>
      <c r="C49" s="58"/>
      <c r="D49" s="51">
        <f t="shared" si="22"/>
        <v>5.5135844831966097E-6</v>
      </c>
      <c r="E49" s="51">
        <f t="shared" si="16"/>
        <v>1.5138892308641516E-5</v>
      </c>
      <c r="F49" s="51">
        <f t="shared" si="21"/>
        <v>4.9308285406325758E-2</v>
      </c>
      <c r="G49" s="51">
        <f t="shared" si="17"/>
        <v>7.5361700234958653E-2</v>
      </c>
      <c r="H49" s="51">
        <f t="shared" si="20"/>
        <v>999.95068620100915</v>
      </c>
      <c r="I49" s="51">
        <f t="shared" si="18"/>
        <v>999.92462316087278</v>
      </c>
      <c r="K49" s="51">
        <f t="shared" si="2"/>
        <v>4.9313798990808955E-2</v>
      </c>
      <c r="L49" s="51">
        <f t="shared" si="3"/>
        <v>3.6986451960003358E-2</v>
      </c>
      <c r="M49" s="51">
        <f t="shared" si="4"/>
        <v>3.7976102329059062E-3</v>
      </c>
      <c r="N49" s="51">
        <f t="shared" si="5"/>
        <v>2.8482925938918282E-3</v>
      </c>
      <c r="O49" s="47"/>
      <c r="P49" s="51">
        <f>(D49*cAsymp+'Markov Model'!F49*cProg)/((1+cDR)^ncycle)</f>
        <v>11.391769208562739</v>
      </c>
      <c r="Q49" s="47">
        <f t="shared" si="6"/>
        <v>0.92276208291180961</v>
      </c>
      <c r="R49" s="51">
        <f t="shared" si="7"/>
        <v>12.314531291474548</v>
      </c>
      <c r="U49" s="51">
        <f t="shared" si="19"/>
        <v>1.855521252230119E-2</v>
      </c>
      <c r="V49" s="51">
        <f t="shared" si="8"/>
        <v>0.22295994669113006</v>
      </c>
      <c r="W49" s="51">
        <f t="shared" si="9"/>
        <v>999.75848484078654</v>
      </c>
      <c r="Y49" s="51">
        <f t="shared" si="10"/>
        <v>0.24151515921343125</v>
      </c>
      <c r="Z49" s="51">
        <f t="shared" si="11"/>
        <v>0.18484741191453369</v>
      </c>
      <c r="AA49" s="51">
        <f t="shared" si="12"/>
        <v>1.8598859929687604E-2</v>
      </c>
      <c r="AB49" s="51">
        <f t="shared" si="13"/>
        <v>1.4234928911959108E-2</v>
      </c>
      <c r="AD49" s="51">
        <f>(U49*(cAsymp+cDrug)+'Markov Model'!V49*cProg)/((1+cDR)^ncycle)</f>
        <v>53.653200053862278</v>
      </c>
      <c r="AE49" s="47">
        <f t="shared" si="14"/>
        <v>4.042282781057601</v>
      </c>
      <c r="AF49" s="51">
        <f t="shared" si="15"/>
        <v>57.695482834919879</v>
      </c>
    </row>
    <row r="50" spans="1:32" x14ac:dyDescent="0.25">
      <c r="A50">
        <v>45</v>
      </c>
      <c r="B50" s="47">
        <v>0.1958</v>
      </c>
      <c r="C50" s="58"/>
      <c r="D50" s="51">
        <f t="shared" si="22"/>
        <v>1.9529117025740561E-6</v>
      </c>
      <c r="E50" s="51">
        <f t="shared" si="16"/>
        <v>5.5135844831966097E-6</v>
      </c>
      <c r="F50" s="51">
        <f t="shared" si="21"/>
        <v>3.2259961425835752E-2</v>
      </c>
      <c r="G50" s="51">
        <f t="shared" si="17"/>
        <v>4.9308285406325758E-2</v>
      </c>
      <c r="H50" s="51">
        <f t="shared" si="20"/>
        <v>999.96773808566252</v>
      </c>
      <c r="I50" s="51">
        <f t="shared" si="18"/>
        <v>999.95068620100915</v>
      </c>
      <c r="K50" s="51">
        <f t="shared" si="2"/>
        <v>3.2261914337538326E-2</v>
      </c>
      <c r="L50" s="51">
        <f t="shared" si="3"/>
        <v>2.4196826335494259E-2</v>
      </c>
      <c r="M50" s="51">
        <f t="shared" si="4"/>
        <v>2.3438304752664129E-3</v>
      </c>
      <c r="N50" s="51">
        <f t="shared" si="5"/>
        <v>1.7579012322858877E-3</v>
      </c>
      <c r="O50" s="47"/>
      <c r="P50" s="51">
        <f>(D50*cAsymp+'Markov Model'!F50*cProg)/((1+cDR)^ncycle)</f>
        <v>7.0311367278482662</v>
      </c>
      <c r="Q50" s="47">
        <f t="shared" si="6"/>
        <v>0.56957784552658708</v>
      </c>
      <c r="R50" s="51">
        <f t="shared" si="7"/>
        <v>7.6007145733748533</v>
      </c>
      <c r="U50" s="51">
        <f t="shared" si="19"/>
        <v>1.0747179092959414E-2</v>
      </c>
      <c r="V50" s="51">
        <f t="shared" si="8"/>
        <v>0.15003531994285507</v>
      </c>
      <c r="W50" s="51">
        <f t="shared" si="9"/>
        <v>999.8392175009642</v>
      </c>
      <c r="Y50" s="51">
        <f t="shared" si="10"/>
        <v>0.16078249903581449</v>
      </c>
      <c r="Z50" s="51">
        <f t="shared" si="11"/>
        <v>0.12273631009545274</v>
      </c>
      <c r="AA50" s="51">
        <f t="shared" si="12"/>
        <v>1.1680860508985815E-2</v>
      </c>
      <c r="AB50" s="51">
        <f t="shared" si="13"/>
        <v>8.9168020537686767E-3</v>
      </c>
      <c r="AD50" s="51">
        <f>(U50*(cAsymp+cDrug)+'Markov Model'!V50*cProg)/((1+cDR)^ncycle)</f>
        <v>33.87140648673757</v>
      </c>
      <c r="AE50" s="47">
        <f t="shared" si="14"/>
        <v>2.5754910159330877</v>
      </c>
      <c r="AF50" s="51">
        <f t="shared" si="15"/>
        <v>36.446897502670659</v>
      </c>
    </row>
    <row r="51" spans="1:32" x14ac:dyDescent="0.25">
      <c r="B51" s="47">
        <v>0.1958</v>
      </c>
    </row>
    <row r="52" spans="1:32" x14ac:dyDescent="0.25">
      <c r="J52" t="s">
        <v>50</v>
      </c>
      <c r="K52" s="6">
        <f>SUM(K5:K50)</f>
        <v>13885.982440798072</v>
      </c>
      <c r="L52" s="6">
        <f>SUM(L6:L50)</f>
        <v>12374.486350887202</v>
      </c>
      <c r="M52" s="6">
        <f>SUM(M5:M50)</f>
        <v>8680.559353213841</v>
      </c>
      <c r="N52" s="6">
        <f>SUM(N5:N50)</f>
        <v>7865.1256413022302</v>
      </c>
      <c r="P52">
        <f>SUM(P5:P50)</f>
        <v>9107851.4797433577</v>
      </c>
      <c r="Q52" s="6">
        <f>SUM(Q5:Q50)</f>
        <v>286053.95663489675</v>
      </c>
      <c r="R52">
        <f>SUM(R5:R50)</f>
        <v>9393905.4363782518</v>
      </c>
      <c r="X52" t="s">
        <v>50</v>
      </c>
      <c r="Y52" s="6">
        <f>SUM(Y5:Y50)</f>
        <v>15860.229143787126</v>
      </c>
      <c r="Z52" s="6">
        <f>SUM(Z6:Z50)</f>
        <v>14446.439325758052</v>
      </c>
      <c r="AA52" s="6">
        <f>SUM(AA5:AA50)</f>
        <v>9350.4181283309372</v>
      </c>
      <c r="AB52" s="6">
        <f>SUM(AB5:AB50)</f>
        <v>8624.7378423777318</v>
      </c>
      <c r="AD52">
        <f>SUM(AD5:AD50)</f>
        <v>15961822.539021384</v>
      </c>
      <c r="AE52" s="6">
        <f>SUM(AE5:AE50)</f>
        <v>193617.89964092497</v>
      </c>
      <c r="AF52">
        <f>SUM(AF5:AF50)</f>
        <v>16155440.438662307</v>
      </c>
    </row>
    <row r="53" spans="1:32" x14ac:dyDescent="0.25">
      <c r="J53" t="s">
        <v>51</v>
      </c>
      <c r="K53" s="8">
        <f>K52/1000</f>
        <v>13.885982440798072</v>
      </c>
      <c r="L53" s="8">
        <f t="shared" ref="L53:R53" si="23">L52/1000</f>
        <v>12.374486350887203</v>
      </c>
      <c r="M53" s="8">
        <f t="shared" si="23"/>
        <v>8.680559353213841</v>
      </c>
      <c r="N53" s="8">
        <f t="shared" si="23"/>
        <v>7.8651256413022299</v>
      </c>
      <c r="O53" s="6"/>
      <c r="P53" s="6">
        <f t="shared" si="23"/>
        <v>9107.8514797433581</v>
      </c>
      <c r="Q53" s="6">
        <f t="shared" si="23"/>
        <v>286.05395663489674</v>
      </c>
      <c r="R53" s="6">
        <f t="shared" si="23"/>
        <v>9393.9054363782525</v>
      </c>
      <c r="X53" t="s">
        <v>51</v>
      </c>
      <c r="Y53" s="8">
        <f>Y52/1000</f>
        <v>15.860229143787127</v>
      </c>
      <c r="Z53" s="8">
        <f>Z52/1000</f>
        <v>14.446439325758051</v>
      </c>
      <c r="AA53" s="8">
        <f>AA52/1000</f>
        <v>9.3504181283309364</v>
      </c>
      <c r="AB53" s="8">
        <f>AB52/1000</f>
        <v>8.6247378423777317</v>
      </c>
      <c r="AC53" s="6"/>
      <c r="AD53" s="6">
        <f>AD52/1000</f>
        <v>15961.822539021385</v>
      </c>
      <c r="AE53" s="6">
        <f>AE52/1000</f>
        <v>193.61789964092497</v>
      </c>
      <c r="AF53" s="6">
        <f>AF52/1000</f>
        <v>16155.440438662308</v>
      </c>
    </row>
    <row r="59" spans="1:32" x14ac:dyDescent="0.25">
      <c r="A59" t="s">
        <v>29</v>
      </c>
      <c r="B59" t="s">
        <v>30</v>
      </c>
    </row>
    <row r="60" spans="1:32" x14ac:dyDescent="0.25">
      <c r="A60" t="s">
        <v>52</v>
      </c>
      <c r="B60" s="5">
        <f>R53</f>
        <v>9393.9054363782525</v>
      </c>
      <c r="C60" s="59"/>
    </row>
    <row r="61" spans="1:32" x14ac:dyDescent="0.25">
      <c r="A61" t="s">
        <v>53</v>
      </c>
      <c r="B61" s="5">
        <f>AF53</f>
        <v>16155.440438662308</v>
      </c>
      <c r="C61" s="59"/>
    </row>
    <row r="62" spans="1:32" x14ac:dyDescent="0.25">
      <c r="A62" t="s">
        <v>55</v>
      </c>
      <c r="B62" s="5">
        <f>B61-B60</f>
        <v>6761.5350022840557</v>
      </c>
      <c r="C62" s="59"/>
    </row>
    <row r="63" spans="1:32" x14ac:dyDescent="0.25">
      <c r="A63" t="s">
        <v>54</v>
      </c>
      <c r="B63" s="5" t="e">
        <f>B62/#REF!</f>
        <v>#REF!</v>
      </c>
    </row>
    <row r="69" spans="1:11" x14ac:dyDescent="0.25">
      <c r="A69">
        <v>1</v>
      </c>
      <c r="B69">
        <v>500</v>
      </c>
      <c r="D69" s="8" t="e">
        <f>#REF!/(1+oDR)^A69</f>
        <v>#REF!</v>
      </c>
      <c r="E69" s="8"/>
      <c r="F69">
        <v>500</v>
      </c>
      <c r="H69">
        <v>0.95</v>
      </c>
      <c r="J69" s="6">
        <f t="shared" ref="J69:J75" si="24">F69/(1+cDR)^A69</f>
        <v>471.69811320754712</v>
      </c>
      <c r="K69" s="8">
        <f t="shared" ref="K69:K74" si="25">H69/(1+oDR)^A69</f>
        <v>0.89622641509433953</v>
      </c>
    </row>
    <row r="70" spans="1:11" x14ac:dyDescent="0.25">
      <c r="A70">
        <v>2</v>
      </c>
      <c r="B70">
        <v>500</v>
      </c>
      <c r="D70" s="8" t="e">
        <f>#REF!/(1+oDR)^A70</f>
        <v>#REF!</v>
      </c>
      <c r="E70" s="8"/>
      <c r="F70">
        <v>500</v>
      </c>
      <c r="H70">
        <v>0.95</v>
      </c>
      <c r="J70" s="6">
        <f t="shared" si="24"/>
        <v>444.99822000711993</v>
      </c>
      <c r="K70" s="8">
        <f t="shared" si="25"/>
        <v>0.84549661801352782</v>
      </c>
    </row>
    <row r="71" spans="1:11" x14ac:dyDescent="0.25">
      <c r="A71">
        <v>3</v>
      </c>
      <c r="B71">
        <v>500</v>
      </c>
      <c r="D71" s="8" t="e">
        <f>#REF!/(1+oDR)^A71</f>
        <v>#REF!</v>
      </c>
      <c r="E71" s="8"/>
      <c r="F71">
        <v>500</v>
      </c>
      <c r="H71">
        <v>0.95</v>
      </c>
      <c r="J71" s="6">
        <f t="shared" si="24"/>
        <v>419.8096415161508</v>
      </c>
      <c r="K71" s="8">
        <f t="shared" si="25"/>
        <v>0.79763831888068648</v>
      </c>
    </row>
    <row r="72" spans="1:11" x14ac:dyDescent="0.25">
      <c r="A72">
        <v>4</v>
      </c>
      <c r="B72">
        <v>500</v>
      </c>
      <c r="D72" s="8" t="e">
        <f>#REF!/(1+oDR)^A72</f>
        <v>#REF!</v>
      </c>
      <c r="E72" s="8"/>
      <c r="F72">
        <v>500</v>
      </c>
      <c r="H72">
        <v>0.95</v>
      </c>
      <c r="J72" s="6">
        <f t="shared" si="24"/>
        <v>396.04683161901022</v>
      </c>
      <c r="K72" s="8">
        <f t="shared" si="25"/>
        <v>0.75248898007611931</v>
      </c>
    </row>
    <row r="73" spans="1:11" x14ac:dyDescent="0.25">
      <c r="A73">
        <v>5</v>
      </c>
      <c r="B73">
        <v>500</v>
      </c>
      <c r="D73" s="8" t="e">
        <f>#REF!/(1+oDR)^A73</f>
        <v>#REF!</v>
      </c>
      <c r="E73" s="8"/>
      <c r="F73">
        <v>500</v>
      </c>
      <c r="H73">
        <v>0.95</v>
      </c>
      <c r="J73" s="6">
        <f t="shared" si="24"/>
        <v>373.62908643302842</v>
      </c>
      <c r="K73" s="8">
        <f t="shared" si="25"/>
        <v>0.70989526422275406</v>
      </c>
    </row>
    <row r="74" spans="1:11" x14ac:dyDescent="0.25">
      <c r="A74">
        <v>6</v>
      </c>
      <c r="B74">
        <v>500</v>
      </c>
      <c r="D74" s="8" t="e">
        <f>#REF!/(1+oDR)^A74</f>
        <v>#REF!</v>
      </c>
      <c r="E74" s="8"/>
      <c r="F74">
        <v>3000</v>
      </c>
      <c r="H74">
        <v>0.75</v>
      </c>
      <c r="J74" s="6">
        <f t="shared" si="24"/>
        <v>2114.8816213190289</v>
      </c>
      <c r="K74" s="8">
        <f t="shared" si="25"/>
        <v>0.52872040532975717</v>
      </c>
    </row>
    <row r="75" spans="1:11" x14ac:dyDescent="0.25">
      <c r="A75">
        <v>7</v>
      </c>
      <c r="B75">
        <v>500</v>
      </c>
      <c r="D75" s="8" t="e">
        <f>#REF!/(1+oDR)^A75</f>
        <v>#REF!</v>
      </c>
      <c r="E75" s="8"/>
      <c r="F75">
        <v>1000</v>
      </c>
      <c r="J75" s="6">
        <f t="shared" si="24"/>
        <v>665.05711362233603</v>
      </c>
    </row>
    <row r="76" spans="1:11" x14ac:dyDescent="0.25">
      <c r="A76">
        <v>8</v>
      </c>
      <c r="B76">
        <v>500</v>
      </c>
      <c r="D76" s="8" t="e">
        <f>#REF!/(1+oDR)^A76</f>
        <v>#REF!</v>
      </c>
      <c r="E76" s="8"/>
      <c r="J76" s="6">
        <f>SUM(J69:J75)</f>
        <v>4886.1206277242209</v>
      </c>
      <c r="K76" s="8">
        <f>SUM(K69:K75)</f>
        <v>4.5304660016171843</v>
      </c>
    </row>
    <row r="77" spans="1:11" x14ac:dyDescent="0.25">
      <c r="A77">
        <v>9</v>
      </c>
      <c r="B77">
        <v>500</v>
      </c>
      <c r="D77" s="8" t="e">
        <f>#REF!/(1+oDR)^A77</f>
        <v>#REF!</v>
      </c>
      <c r="E77" s="8"/>
    </row>
    <row r="78" spans="1:11" x14ac:dyDescent="0.25">
      <c r="A78">
        <v>10</v>
      </c>
      <c r="B78">
        <v>500</v>
      </c>
      <c r="D78" s="8" t="e">
        <f>#REF!/(1+oDR)^A78</f>
        <v>#REF!</v>
      </c>
      <c r="E78" s="8"/>
    </row>
    <row r="79" spans="1:11" x14ac:dyDescent="0.25">
      <c r="A79">
        <v>11</v>
      </c>
      <c r="B79">
        <v>500</v>
      </c>
      <c r="D79" s="8" t="e">
        <f>#REF!/(1+oDR)^A79</f>
        <v>#REF!</v>
      </c>
      <c r="E79" s="8"/>
    </row>
    <row r="80" spans="1:11" x14ac:dyDescent="0.25">
      <c r="A80">
        <v>12</v>
      </c>
      <c r="B80">
        <v>500</v>
      </c>
      <c r="D80" s="8" t="e">
        <f>#REF!/(1+oDR)^A80</f>
        <v>#REF!</v>
      </c>
      <c r="E80" s="8"/>
    </row>
    <row r="81" spans="1:5" x14ac:dyDescent="0.25">
      <c r="A81">
        <v>13</v>
      </c>
      <c r="B81">
        <v>500</v>
      </c>
      <c r="D81" s="8" t="e">
        <f>#REF!/(1+oDR)^A81</f>
        <v>#REF!</v>
      </c>
      <c r="E81" s="8"/>
    </row>
    <row r="82" spans="1:5" x14ac:dyDescent="0.25">
      <c r="A82">
        <v>14</v>
      </c>
      <c r="B82">
        <v>500</v>
      </c>
      <c r="D82" s="8" t="e">
        <f>#REF!/(1+oDR)^A82</f>
        <v>#REF!</v>
      </c>
      <c r="E82" s="8"/>
    </row>
    <row r="83" spans="1:5" x14ac:dyDescent="0.25">
      <c r="A83">
        <v>15</v>
      </c>
      <c r="B83">
        <v>500</v>
      </c>
      <c r="D83" s="8" t="e">
        <f>#REF!/(1+oDR)^A83</f>
        <v>#REF!</v>
      </c>
      <c r="E83" s="8"/>
    </row>
    <row r="84" spans="1:5" x14ac:dyDescent="0.25">
      <c r="A84">
        <v>16</v>
      </c>
      <c r="B84">
        <v>3000</v>
      </c>
      <c r="D84" s="8" t="e">
        <f>#REF!/(1+oDR)^A84</f>
        <v>#REF!</v>
      </c>
      <c r="E84" s="8"/>
    </row>
    <row r="85" spans="1:5" x14ac:dyDescent="0.25">
      <c r="A85">
        <v>17</v>
      </c>
      <c r="B85">
        <v>3000</v>
      </c>
      <c r="D85" s="8" t="e">
        <f>#REF!/(1+oDR)^A85</f>
        <v>#REF!</v>
      </c>
      <c r="E85" s="8"/>
    </row>
    <row r="86" spans="1:5" x14ac:dyDescent="0.25">
      <c r="A86">
        <v>18</v>
      </c>
      <c r="B86">
        <v>3000</v>
      </c>
      <c r="D86" s="8" t="e">
        <f>#REF!/(1+oDR)^A86</f>
        <v>#REF!</v>
      </c>
      <c r="E86" s="8"/>
    </row>
    <row r="87" spans="1:5" x14ac:dyDescent="0.25">
      <c r="A87">
        <v>19</v>
      </c>
      <c r="B87">
        <v>3000</v>
      </c>
      <c r="D87" s="8" t="e">
        <f>#REF!/(1+oDR)^A87</f>
        <v>#REF!</v>
      </c>
      <c r="E87" s="8"/>
    </row>
    <row r="88" spans="1:5" x14ac:dyDescent="0.25">
      <c r="A88">
        <v>20</v>
      </c>
      <c r="B88">
        <v>3000</v>
      </c>
      <c r="D88" s="8" t="e">
        <f>#REF!/(1+oDR)^A88</f>
        <v>#REF!</v>
      </c>
      <c r="E88" s="8"/>
    </row>
    <row r="89" spans="1:5" x14ac:dyDescent="0.25">
      <c r="A89">
        <v>21</v>
      </c>
      <c r="B89">
        <v>1000</v>
      </c>
    </row>
    <row r="90" spans="1:5" x14ac:dyDescent="0.25">
      <c r="D90" s="8" t="e">
        <f>SUM(D69:D89)</f>
        <v>#REF!</v>
      </c>
      <c r="E90" s="8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/>
  </sheetPr>
  <dimension ref="B1:X21"/>
  <sheetViews>
    <sheetView showGridLines="0" workbookViewId="0"/>
  </sheetViews>
  <sheetFormatPr defaultRowHeight="12.5" outlineLevelRow="1" outlineLevelCol="1" x14ac:dyDescent="0.25"/>
  <cols>
    <col min="3" max="3" width="8.7265625" customWidth="1"/>
    <col min="4" max="24" width="12" bestFit="1" customWidth="1" outlineLevel="1"/>
  </cols>
  <sheetData>
    <row r="1" spans="2:24" ht="13" thickBot="1" x14ac:dyDescent="0.3"/>
    <row r="2" spans="2:24" ht="14" x14ac:dyDescent="0.3">
      <c r="B2" s="14" t="s">
        <v>83</v>
      </c>
      <c r="C2" s="14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</row>
    <row r="3" spans="2:24" ht="14" collapsed="1" x14ac:dyDescent="0.3">
      <c r="B3" s="13"/>
      <c r="C3" s="13"/>
      <c r="D3" s="20" t="s">
        <v>85</v>
      </c>
      <c r="E3" s="20" t="s">
        <v>63</v>
      </c>
      <c r="F3" s="20" t="s">
        <v>65</v>
      </c>
      <c r="G3" s="20" t="s">
        <v>67</v>
      </c>
      <c r="H3" s="20" t="s">
        <v>68</v>
      </c>
      <c r="I3" s="20" t="s">
        <v>69</v>
      </c>
      <c r="J3" s="20" t="s">
        <v>70</v>
      </c>
      <c r="K3" s="20" t="s">
        <v>71</v>
      </c>
      <c r="L3" s="20" t="s">
        <v>72</v>
      </c>
      <c r="M3" s="20" t="s">
        <v>73</v>
      </c>
      <c r="N3" s="20" t="s">
        <v>74</v>
      </c>
      <c r="O3" s="20" t="s">
        <v>75</v>
      </c>
      <c r="P3" s="20" t="s">
        <v>76</v>
      </c>
      <c r="Q3" s="20" t="s">
        <v>77</v>
      </c>
      <c r="R3" s="20" t="s">
        <v>78</v>
      </c>
      <c r="S3" s="20" t="s">
        <v>79</v>
      </c>
      <c r="T3" s="20" t="s">
        <v>80</v>
      </c>
      <c r="U3" s="20" t="s">
        <v>81</v>
      </c>
      <c r="V3" s="20" t="s">
        <v>82</v>
      </c>
      <c r="W3" s="20" t="s">
        <v>92</v>
      </c>
      <c r="X3" s="20" t="s">
        <v>93</v>
      </c>
    </row>
    <row r="4" spans="2:24" ht="60" hidden="1" outlineLevel="1" x14ac:dyDescent="0.3">
      <c r="B4" s="16"/>
      <c r="C4" s="16"/>
      <c r="D4" s="11"/>
      <c r="E4" s="23" t="s">
        <v>64</v>
      </c>
      <c r="F4" s="23" t="s">
        <v>66</v>
      </c>
      <c r="G4" s="23" t="s">
        <v>64</v>
      </c>
      <c r="H4" s="23" t="s">
        <v>66</v>
      </c>
      <c r="I4" s="23" t="s">
        <v>64</v>
      </c>
      <c r="J4" s="23" t="s">
        <v>64</v>
      </c>
      <c r="K4" s="23" t="s">
        <v>66</v>
      </c>
      <c r="L4" s="23" t="s">
        <v>66</v>
      </c>
      <c r="M4" s="23" t="s">
        <v>66</v>
      </c>
      <c r="N4" s="23" t="s">
        <v>66</v>
      </c>
      <c r="O4" s="23" t="s">
        <v>66</v>
      </c>
      <c r="P4" s="23" t="s">
        <v>66</v>
      </c>
      <c r="Q4" s="23" t="s">
        <v>66</v>
      </c>
      <c r="R4" s="23" t="s">
        <v>66</v>
      </c>
      <c r="S4" s="23" t="s">
        <v>64</v>
      </c>
      <c r="T4" s="23" t="s">
        <v>66</v>
      </c>
      <c r="U4" s="23" t="s">
        <v>66</v>
      </c>
      <c r="V4" s="23" t="s">
        <v>66</v>
      </c>
      <c r="W4" s="23" t="s">
        <v>66</v>
      </c>
      <c r="X4" s="23" t="s">
        <v>66</v>
      </c>
    </row>
    <row r="5" spans="2:24" ht="13" x14ac:dyDescent="0.3">
      <c r="B5" s="17" t="s">
        <v>84</v>
      </c>
      <c r="C5" s="17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2:24" ht="13" outlineLevel="1" x14ac:dyDescent="0.3">
      <c r="B6" s="16"/>
      <c r="C6" s="16" t="s">
        <v>4</v>
      </c>
      <c r="D6" s="11">
        <v>500</v>
      </c>
      <c r="E6" s="21">
        <v>250</v>
      </c>
      <c r="F6" s="21">
        <v>750</v>
      </c>
      <c r="G6" s="11">
        <v>500</v>
      </c>
      <c r="H6" s="11">
        <v>500</v>
      </c>
      <c r="I6" s="11">
        <v>500</v>
      </c>
      <c r="J6" s="11">
        <v>500</v>
      </c>
      <c r="K6" s="11">
        <v>500</v>
      </c>
      <c r="L6" s="11">
        <v>500</v>
      </c>
      <c r="M6" s="11">
        <v>500</v>
      </c>
      <c r="N6" s="11">
        <v>500</v>
      </c>
      <c r="O6" s="11">
        <v>500</v>
      </c>
      <c r="P6" s="11">
        <v>500</v>
      </c>
      <c r="Q6" s="11">
        <v>500</v>
      </c>
      <c r="R6" s="11">
        <v>500</v>
      </c>
      <c r="S6" s="11">
        <v>500</v>
      </c>
      <c r="T6" s="11">
        <v>500</v>
      </c>
      <c r="U6" s="11">
        <v>500</v>
      </c>
      <c r="V6" s="11">
        <v>500</v>
      </c>
      <c r="W6" s="21">
        <v>750</v>
      </c>
      <c r="X6" s="21">
        <v>250</v>
      </c>
    </row>
    <row r="7" spans="2:24" ht="13" outlineLevel="1" x14ac:dyDescent="0.3">
      <c r="B7" s="16"/>
      <c r="C7" s="16" t="s">
        <v>6</v>
      </c>
      <c r="D7" s="11">
        <v>1000</v>
      </c>
      <c r="E7" s="11">
        <v>1000</v>
      </c>
      <c r="F7" s="11">
        <v>1000</v>
      </c>
      <c r="G7" s="21">
        <v>500</v>
      </c>
      <c r="H7" s="21">
        <v>1500</v>
      </c>
      <c r="I7" s="11">
        <v>1000</v>
      </c>
      <c r="J7" s="11">
        <v>1000</v>
      </c>
      <c r="K7" s="11">
        <v>1000</v>
      </c>
      <c r="L7" s="11">
        <v>1000</v>
      </c>
      <c r="M7" s="11">
        <v>1000</v>
      </c>
      <c r="N7" s="11">
        <v>1000</v>
      </c>
      <c r="O7" s="11">
        <v>1000</v>
      </c>
      <c r="P7" s="11">
        <v>1000</v>
      </c>
      <c r="Q7" s="11">
        <v>1000</v>
      </c>
      <c r="R7" s="11">
        <v>1000</v>
      </c>
      <c r="S7" s="11">
        <v>1000</v>
      </c>
      <c r="T7" s="11">
        <v>1000</v>
      </c>
      <c r="U7" s="11">
        <v>1000</v>
      </c>
      <c r="V7" s="11">
        <v>1000</v>
      </c>
      <c r="W7" s="21">
        <v>500</v>
      </c>
      <c r="X7" s="21">
        <v>1500</v>
      </c>
    </row>
    <row r="8" spans="2:24" ht="13" outlineLevel="1" x14ac:dyDescent="0.3">
      <c r="B8" s="16"/>
      <c r="C8" s="16" t="s">
        <v>10</v>
      </c>
      <c r="D8" s="11">
        <v>1000</v>
      </c>
      <c r="E8" s="11">
        <v>1000</v>
      </c>
      <c r="F8" s="11">
        <v>1000</v>
      </c>
      <c r="G8" s="11">
        <v>1000</v>
      </c>
      <c r="H8" s="11">
        <v>1000</v>
      </c>
      <c r="I8" s="21">
        <v>800</v>
      </c>
      <c r="J8" s="21">
        <v>1200</v>
      </c>
      <c r="K8" s="11">
        <v>1000</v>
      </c>
      <c r="L8" s="11">
        <v>1000</v>
      </c>
      <c r="M8" s="11">
        <v>1000</v>
      </c>
      <c r="N8" s="11">
        <v>1000</v>
      </c>
      <c r="O8" s="11">
        <v>1000</v>
      </c>
      <c r="P8" s="11">
        <v>1000</v>
      </c>
      <c r="Q8" s="11">
        <v>1000</v>
      </c>
      <c r="R8" s="11">
        <v>1000</v>
      </c>
      <c r="S8" s="11">
        <v>1000</v>
      </c>
      <c r="T8" s="11">
        <v>1000</v>
      </c>
      <c r="U8" s="11">
        <v>1000</v>
      </c>
      <c r="V8" s="11">
        <v>1000</v>
      </c>
      <c r="W8" s="21">
        <v>1200</v>
      </c>
      <c r="X8" s="21">
        <v>800</v>
      </c>
    </row>
    <row r="9" spans="2:24" ht="13" outlineLevel="1" x14ac:dyDescent="0.3">
      <c r="B9" s="16"/>
      <c r="C9" s="16" t="s">
        <v>12</v>
      </c>
      <c r="D9" s="11">
        <v>0.15</v>
      </c>
      <c r="E9" s="11">
        <v>0.15</v>
      </c>
      <c r="F9" s="11">
        <v>0.15</v>
      </c>
      <c r="G9" s="11">
        <v>0.15</v>
      </c>
      <c r="H9" s="11">
        <v>0.15</v>
      </c>
      <c r="I9" s="11">
        <v>0.15</v>
      </c>
      <c r="J9" s="11">
        <v>0.15</v>
      </c>
      <c r="K9" s="21">
        <v>0.1</v>
      </c>
      <c r="L9" s="21">
        <v>0.2</v>
      </c>
      <c r="M9" s="11">
        <v>0.15</v>
      </c>
      <c r="N9" s="11">
        <v>0.15</v>
      </c>
      <c r="O9" s="11">
        <v>0.15</v>
      </c>
      <c r="P9" s="11">
        <v>0.15</v>
      </c>
      <c r="Q9" s="11">
        <v>0.15</v>
      </c>
      <c r="R9" s="11">
        <v>0.15</v>
      </c>
      <c r="S9" s="11">
        <v>0.15</v>
      </c>
      <c r="T9" s="11">
        <v>0.15</v>
      </c>
      <c r="U9" s="11">
        <v>0.15</v>
      </c>
      <c r="V9" s="11">
        <v>0.15</v>
      </c>
      <c r="W9" s="21">
        <v>0.1</v>
      </c>
      <c r="X9" s="21">
        <v>0.2</v>
      </c>
    </row>
    <row r="10" spans="2:24" ht="13" outlineLevel="1" x14ac:dyDescent="0.3">
      <c r="B10" s="16"/>
      <c r="C10" s="16" t="s">
        <v>14</v>
      </c>
      <c r="D10" s="11">
        <v>3000</v>
      </c>
      <c r="E10" s="11">
        <v>3000</v>
      </c>
      <c r="F10" s="11">
        <v>3000</v>
      </c>
      <c r="G10" s="11">
        <v>3000</v>
      </c>
      <c r="H10" s="11">
        <v>3000</v>
      </c>
      <c r="I10" s="11">
        <v>3000</v>
      </c>
      <c r="J10" s="11">
        <v>3000</v>
      </c>
      <c r="K10" s="11">
        <v>3000</v>
      </c>
      <c r="L10" s="11">
        <v>3000</v>
      </c>
      <c r="M10" s="21">
        <v>2000</v>
      </c>
      <c r="N10" s="21">
        <v>4000</v>
      </c>
      <c r="O10" s="11">
        <v>3000</v>
      </c>
      <c r="P10" s="11">
        <v>3000</v>
      </c>
      <c r="Q10" s="11">
        <v>3000</v>
      </c>
      <c r="R10" s="11">
        <v>3000</v>
      </c>
      <c r="S10" s="11">
        <v>3000</v>
      </c>
      <c r="T10" s="11">
        <v>3000</v>
      </c>
      <c r="U10" s="11">
        <v>3000</v>
      </c>
      <c r="V10" s="11">
        <v>3000</v>
      </c>
      <c r="W10" s="21">
        <v>2000</v>
      </c>
      <c r="X10" s="21">
        <v>4000</v>
      </c>
    </row>
    <row r="11" spans="2:24" ht="13" outlineLevel="1" x14ac:dyDescent="0.3">
      <c r="B11" s="16"/>
      <c r="C11" s="16" t="s">
        <v>18</v>
      </c>
      <c r="D11" s="12">
        <v>0.5</v>
      </c>
      <c r="E11" s="12">
        <v>0.5</v>
      </c>
      <c r="F11" s="12">
        <v>0.5</v>
      </c>
      <c r="G11" s="12">
        <v>0.5</v>
      </c>
      <c r="H11" s="12">
        <v>0.5</v>
      </c>
      <c r="I11" s="12">
        <v>0.5</v>
      </c>
      <c r="J11" s="12">
        <v>0.5</v>
      </c>
      <c r="K11" s="12">
        <v>0.5</v>
      </c>
      <c r="L11" s="12">
        <v>0.5</v>
      </c>
      <c r="M11" s="12">
        <v>0.5</v>
      </c>
      <c r="N11" s="12">
        <v>0.5</v>
      </c>
      <c r="O11" s="22">
        <v>0.4</v>
      </c>
      <c r="P11" s="22">
        <v>0.6</v>
      </c>
      <c r="Q11" s="12">
        <v>0.5</v>
      </c>
      <c r="R11" s="12">
        <v>0.5</v>
      </c>
      <c r="S11" s="12">
        <v>0.5</v>
      </c>
      <c r="T11" s="12">
        <v>0.5</v>
      </c>
      <c r="U11" s="12">
        <v>0.5</v>
      </c>
      <c r="V11" s="12">
        <v>0.5</v>
      </c>
      <c r="W11" s="22">
        <v>0.4</v>
      </c>
      <c r="X11" s="22">
        <v>0.6</v>
      </c>
    </row>
    <row r="12" spans="2:24" ht="13" outlineLevel="1" x14ac:dyDescent="0.3">
      <c r="B12" s="16"/>
      <c r="C12" s="16" t="s">
        <v>23</v>
      </c>
      <c r="D12" s="11">
        <v>0.01</v>
      </c>
      <c r="E12" s="11">
        <v>0.01</v>
      </c>
      <c r="F12" s="11">
        <v>0.01</v>
      </c>
      <c r="G12" s="11">
        <v>0.01</v>
      </c>
      <c r="H12" s="11">
        <v>0.01</v>
      </c>
      <c r="I12" s="11">
        <v>0.01</v>
      </c>
      <c r="J12" s="11">
        <v>0.01</v>
      </c>
      <c r="K12" s="11">
        <v>0.01</v>
      </c>
      <c r="L12" s="11">
        <v>0.01</v>
      </c>
      <c r="M12" s="11">
        <v>0.01</v>
      </c>
      <c r="N12" s="11">
        <v>0.01</v>
      </c>
      <c r="O12" s="11">
        <v>0.01</v>
      </c>
      <c r="P12" s="11">
        <v>0.01</v>
      </c>
      <c r="Q12" s="21">
        <v>5.0000000000000001E-3</v>
      </c>
      <c r="R12" s="21">
        <v>1.4999999999999999E-2</v>
      </c>
      <c r="S12" s="11">
        <v>0.01</v>
      </c>
      <c r="T12" s="11">
        <v>0.01</v>
      </c>
      <c r="U12" s="11">
        <v>0.01</v>
      </c>
      <c r="V12" s="11">
        <v>0.01</v>
      </c>
      <c r="W12" s="21">
        <v>5.0000000000000001E-3</v>
      </c>
      <c r="X12" s="21">
        <v>1.4999999999999999E-2</v>
      </c>
    </row>
    <row r="13" spans="2:24" ht="13" outlineLevel="1" x14ac:dyDescent="0.3">
      <c r="B13" s="16"/>
      <c r="C13" s="16" t="s">
        <v>24</v>
      </c>
      <c r="D13" s="11">
        <v>0.95</v>
      </c>
      <c r="E13" s="11">
        <v>0.95</v>
      </c>
      <c r="F13" s="11">
        <v>0.95</v>
      </c>
      <c r="G13" s="11">
        <v>0.95</v>
      </c>
      <c r="H13" s="11">
        <v>0.95</v>
      </c>
      <c r="I13" s="11">
        <v>0.95</v>
      </c>
      <c r="J13" s="11">
        <v>0.95</v>
      </c>
      <c r="K13" s="11">
        <v>0.95</v>
      </c>
      <c r="L13" s="11">
        <v>0.95</v>
      </c>
      <c r="M13" s="11">
        <v>0.95</v>
      </c>
      <c r="N13" s="11">
        <v>0.95</v>
      </c>
      <c r="O13" s="11">
        <v>0.95</v>
      </c>
      <c r="P13" s="11">
        <v>0.95</v>
      </c>
      <c r="Q13" s="11">
        <v>0.95</v>
      </c>
      <c r="R13" s="11">
        <v>0.95</v>
      </c>
      <c r="S13" s="21">
        <v>0.9</v>
      </c>
      <c r="T13" s="21">
        <v>1</v>
      </c>
      <c r="U13" s="11">
        <v>0.95</v>
      </c>
      <c r="V13" s="11">
        <v>0.95</v>
      </c>
      <c r="W13" s="21">
        <v>0.9</v>
      </c>
      <c r="X13" s="21">
        <v>1</v>
      </c>
    </row>
    <row r="14" spans="2:24" ht="13" outlineLevel="1" x14ac:dyDescent="0.3">
      <c r="B14" s="16"/>
      <c r="C14" s="16" t="s">
        <v>26</v>
      </c>
      <c r="D14" s="11">
        <v>0.75</v>
      </c>
      <c r="E14" s="11">
        <v>0.75</v>
      </c>
      <c r="F14" s="11">
        <v>0.75</v>
      </c>
      <c r="G14" s="11">
        <v>0.75</v>
      </c>
      <c r="H14" s="11">
        <v>0.75</v>
      </c>
      <c r="I14" s="11">
        <v>0.75</v>
      </c>
      <c r="J14" s="11">
        <v>0.75</v>
      </c>
      <c r="K14" s="11">
        <v>0.75</v>
      </c>
      <c r="L14" s="11">
        <v>0.75</v>
      </c>
      <c r="M14" s="11">
        <v>0.75</v>
      </c>
      <c r="N14" s="11">
        <v>0.75</v>
      </c>
      <c r="O14" s="11">
        <v>0.75</v>
      </c>
      <c r="P14" s="11">
        <v>0.75</v>
      </c>
      <c r="Q14" s="11">
        <v>0.75</v>
      </c>
      <c r="R14" s="11">
        <v>0.75</v>
      </c>
      <c r="S14" s="11">
        <v>0.75</v>
      </c>
      <c r="T14" s="11">
        <v>0.75</v>
      </c>
      <c r="U14" s="21">
        <v>0.6</v>
      </c>
      <c r="V14" s="21">
        <v>0.9</v>
      </c>
      <c r="W14" s="21">
        <v>0.9</v>
      </c>
      <c r="X14" s="21">
        <v>0.6</v>
      </c>
    </row>
    <row r="15" spans="2:24" ht="13" x14ac:dyDescent="0.3">
      <c r="B15" s="17" t="s">
        <v>86</v>
      </c>
      <c r="C15" s="17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2:24" ht="13" outlineLevel="1" x14ac:dyDescent="0.3">
      <c r="B16" s="16"/>
      <c r="C16" s="16" t="s">
        <v>90</v>
      </c>
      <c r="D16" s="24">
        <v>6890.5436319296095</v>
      </c>
      <c r="E16" s="24">
        <v>6545.4162542976601</v>
      </c>
      <c r="F16" s="24">
        <v>7235.6710095615399</v>
      </c>
      <c r="G16" s="24">
        <v>6934.8140633837502</v>
      </c>
      <c r="H16" s="24">
        <v>6846.2732004754698</v>
      </c>
      <c r="I16" s="24">
        <v>5278.6193858000797</v>
      </c>
      <c r="J16" s="24">
        <v>8502.4678780591294</v>
      </c>
      <c r="K16" s="24">
        <v>6457.4381629593599</v>
      </c>
      <c r="L16" s="24">
        <v>7185.2246573746997</v>
      </c>
      <c r="M16" s="24">
        <v>7480.8074622874801</v>
      </c>
      <c r="N16" s="24">
        <v>6300.2798015717199</v>
      </c>
      <c r="O16" s="24">
        <v>6848.63680812446</v>
      </c>
      <c r="P16" s="24">
        <v>6929.8428540762898</v>
      </c>
      <c r="Q16" s="24">
        <v>8146.8002808668898</v>
      </c>
      <c r="R16" s="24">
        <v>6101.19339041289</v>
      </c>
      <c r="S16" s="24">
        <v>6890.5436319296095</v>
      </c>
      <c r="T16" s="24">
        <v>6890.5436319296095</v>
      </c>
      <c r="U16" s="24">
        <v>6890.5436319296095</v>
      </c>
      <c r="V16" s="24">
        <v>6890.5436319296095</v>
      </c>
      <c r="W16" s="24">
        <v>10350.952848982201</v>
      </c>
      <c r="X16" s="24">
        <v>3827.3537951470598</v>
      </c>
    </row>
    <row r="17" spans="2:24" ht="13" outlineLevel="1" x14ac:dyDescent="0.3">
      <c r="B17" s="16"/>
      <c r="C17" s="16" t="s">
        <v>91</v>
      </c>
      <c r="D17" s="25">
        <v>0.86878616223299598</v>
      </c>
      <c r="E17" s="25">
        <v>0.86878616223299598</v>
      </c>
      <c r="F17" s="25">
        <v>0.86878616223299598</v>
      </c>
      <c r="G17" s="25">
        <v>0.86878616223299598</v>
      </c>
      <c r="H17" s="25">
        <v>0.86878616223299598</v>
      </c>
      <c r="I17" s="25">
        <v>0.86878616223299598</v>
      </c>
      <c r="J17" s="25">
        <v>0.86878616223299598</v>
      </c>
      <c r="K17" s="25">
        <v>0.75686243622593696</v>
      </c>
      <c r="L17" s="25">
        <v>0.94476908165663798</v>
      </c>
      <c r="M17" s="25">
        <v>0.86878616223299598</v>
      </c>
      <c r="N17" s="25">
        <v>0.86878616223299598</v>
      </c>
      <c r="O17" s="25">
        <v>0.65661781068085601</v>
      </c>
      <c r="P17" s="25">
        <v>1.10866674497233</v>
      </c>
      <c r="Q17" s="25">
        <v>0.66718461754106095</v>
      </c>
      <c r="R17" s="25">
        <v>0.94066748899077501</v>
      </c>
      <c r="S17" s="25">
        <v>0.79976068670660405</v>
      </c>
      <c r="T17" s="25">
        <v>0.93781163775938103</v>
      </c>
      <c r="U17" s="25">
        <v>0.95732573678667898</v>
      </c>
      <c r="V17" s="25">
        <v>0.78024658767930299</v>
      </c>
      <c r="W17" s="25">
        <v>0.335065905625891</v>
      </c>
      <c r="X17" s="25">
        <v>1.5161899177238001</v>
      </c>
    </row>
    <row r="18" spans="2:24" ht="13.5" outlineLevel="1" thickBot="1" x14ac:dyDescent="0.35">
      <c r="B18" s="18"/>
      <c r="C18" s="18" t="s">
        <v>54</v>
      </c>
      <c r="D18" s="26">
        <v>7931.23087299089</v>
      </c>
      <c r="E18" s="26">
        <v>7533.9784849637899</v>
      </c>
      <c r="F18" s="26">
        <v>8328.4832610179601</v>
      </c>
      <c r="G18" s="26">
        <v>7982.1875219093699</v>
      </c>
      <c r="H18" s="26">
        <v>7880.2742240724101</v>
      </c>
      <c r="I18" s="26">
        <v>6075.8557344337896</v>
      </c>
      <c r="J18" s="26">
        <v>9786.6060115479704</v>
      </c>
      <c r="K18" s="26">
        <v>8531.8518318323604</v>
      </c>
      <c r="L18" s="26">
        <v>7605.2707448634201</v>
      </c>
      <c r="M18" s="26">
        <v>8610.6429723281399</v>
      </c>
      <c r="N18" s="26">
        <v>7251.8187736536202</v>
      </c>
      <c r="O18" s="26">
        <v>10430.1721590875</v>
      </c>
      <c r="P18" s="26">
        <v>6250.6094689881002</v>
      </c>
      <c r="Q18" s="26">
        <v>12210.7135966238</v>
      </c>
      <c r="R18" s="26">
        <v>6486.02557420024</v>
      </c>
      <c r="S18" s="26">
        <v>8615.7568713519795</v>
      </c>
      <c r="T18" s="26">
        <v>7347.4708080958399</v>
      </c>
      <c r="U18" s="26">
        <v>7197.7001841171896</v>
      </c>
      <c r="V18" s="26">
        <v>8831.2384068531992</v>
      </c>
      <c r="W18" s="26">
        <v>30892.2891741163</v>
      </c>
      <c r="X18" s="26">
        <v>2524.3234705668801</v>
      </c>
    </row>
    <row r="19" spans="2:24" x14ac:dyDescent="0.25">
      <c r="B19" t="s">
        <v>87</v>
      </c>
    </row>
    <row r="20" spans="2:24" x14ac:dyDescent="0.25">
      <c r="B20" t="s">
        <v>88</v>
      </c>
    </row>
    <row r="21" spans="2:24" x14ac:dyDescent="0.25">
      <c r="B21" t="s">
        <v>89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32" sqref="N32"/>
    </sheetView>
  </sheetViews>
  <sheetFormatPr defaultRowHeight="12.5" x14ac:dyDescent="0.25"/>
  <sheetData>
    <row r="1" spans="1:1" ht="15.5" x14ac:dyDescent="0.35">
      <c r="A1" s="44" t="s">
        <v>133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9" baseType="lpstr">
      <vt:lpstr>Introduction</vt:lpstr>
      <vt:lpstr>Parameters and Analysis</vt:lpstr>
      <vt:lpstr>Markov Model</vt:lpstr>
      <vt:lpstr>Scenario Summary</vt:lpstr>
      <vt:lpstr>Model Figure</vt:lpstr>
      <vt:lpstr>CohortDrug</vt:lpstr>
      <vt:lpstr>CohortNoDrug</vt:lpstr>
      <vt:lpstr>_nD35</vt:lpstr>
      <vt:lpstr>_nD45</vt:lpstr>
      <vt:lpstr>_nD55</vt:lpstr>
      <vt:lpstr>_nD65</vt:lpstr>
      <vt:lpstr>_nD75</vt:lpstr>
      <vt:lpstr>_nD85</vt:lpstr>
      <vt:lpstr>alpha</vt:lpstr>
      <vt:lpstr>Asymp</vt:lpstr>
      <vt:lpstr>Asymp_lag</vt:lpstr>
      <vt:lpstr>beta</vt:lpstr>
      <vt:lpstr>cAsymp</vt:lpstr>
      <vt:lpstr>cDeath</vt:lpstr>
      <vt:lpstr>cDR</vt:lpstr>
      <vt:lpstr>cDrug</vt:lpstr>
      <vt:lpstr>cProg</vt:lpstr>
      <vt:lpstr>cycle</vt:lpstr>
      <vt:lpstr>Death</vt:lpstr>
      <vt:lpstr>Death_lag</vt:lpstr>
      <vt:lpstr>effect</vt:lpstr>
      <vt:lpstr>ini_age</vt:lpstr>
      <vt:lpstr>mean</vt:lpstr>
      <vt:lpstr>n_cohort</vt:lpstr>
      <vt:lpstr>ncycle</vt:lpstr>
      <vt:lpstr>oDR</vt:lpstr>
      <vt:lpstr>Prog</vt:lpstr>
      <vt:lpstr>Prog_lag</vt:lpstr>
      <vt:lpstr>rDeath</vt:lpstr>
      <vt:lpstr>se</vt:lpstr>
      <vt:lpstr>tpDcm</vt:lpstr>
      <vt:lpstr>tpProg</vt:lpstr>
      <vt:lpstr>uAsymp</vt:lpstr>
      <vt:lpstr>uProg</vt:lpstr>
    </vt:vector>
  </TitlesOfParts>
  <Manager>Health Economics Research Centre</Manager>
  <Company>University of Oxford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Probabilistic Sensitivity Analysis of Cost-Effectiveness Models</dc:title>
  <dc:creator>Andrew Briggs</dc:creator>
  <dc:description>This model is made available for educational purposes.  Please direct comments, corrections and requests for commercial use to andrew.briggs@ihs.ox.ac.uk</dc:description>
  <cp:lastModifiedBy>Nichola Naylor</cp:lastModifiedBy>
  <cp:lastPrinted>1999-09-02T12:09:59Z</cp:lastPrinted>
  <dcterms:created xsi:type="dcterms:W3CDTF">1997-05-02T12:23:35Z</dcterms:created>
  <dcterms:modified xsi:type="dcterms:W3CDTF">2021-10-19T15:28:27Z</dcterms:modified>
</cp:coreProperties>
</file>