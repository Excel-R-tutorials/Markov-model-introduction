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athan\Documents\R\Markov-model-introduction\"/>
    </mc:Choice>
  </mc:AlternateContent>
  <xr:revisionPtr revIDLastSave="0" documentId="13_ncr:1_{18E98E45-288D-48C0-85DE-E2B3B3B4692F}" xr6:coauthVersionLast="47" xr6:coauthVersionMax="47" xr10:uidLastSave="{00000000-0000-0000-0000-000000000000}"/>
  <bookViews>
    <workbookView xWindow="-120" yWindow="-120" windowWidth="29040" windowHeight="17520" activeTab="3" xr2:uid="{00000000-000D-0000-FFFF-FFFF00000000}"/>
  </bookViews>
  <sheets>
    <sheet name="Introduction" sheetId="28" r:id="rId1"/>
    <sheet name="Parameters and Analysis" sheetId="1" r:id="rId2"/>
    <sheet name="Markov Model" sheetId="5" r:id="rId3"/>
    <sheet name="Markov Model (2)" sheetId="31" r:id="rId4"/>
    <sheet name="Scenario Summary" sheetId="16" r:id="rId5"/>
    <sheet name="CohortDrug" sheetId="9" r:id="rId6"/>
    <sheet name="CohortNoDrug" sheetId="8" r:id="rId7"/>
    <sheet name="Model Figure" sheetId="30" r:id="rId8"/>
  </sheets>
  <definedNames>
    <definedName name="_nD35">'Parameters and Analysis'!$B$19</definedName>
    <definedName name="_nD45">'Parameters and Analysis'!$B$20</definedName>
    <definedName name="_nD55">'Parameters and Analysis'!$B$21</definedName>
    <definedName name="_nD65">'Parameters and Analysis'!$B$22</definedName>
    <definedName name="_nD75">'Parameters and Analysis'!$B$23</definedName>
    <definedName name="_nD85">'Parameters and Analysis'!$B$24</definedName>
    <definedName name="age" localSheetId="3">'Markov Model (2)'!$B$2:$B$47</definedName>
    <definedName name="age">'Markov Model'!$B$2:$B$47</definedName>
    <definedName name="alpha">'Parameters and Analysis'!$N$5:$N$13</definedName>
    <definedName name="Asymp" localSheetId="3">'Markov Model (2)'!$D$2:$D$47</definedName>
    <definedName name="Asymp">'Markov Model'!$E$2:$E$47</definedName>
    <definedName name="Asymp_lag" localSheetId="3">'Markov Model (2)'!$E$2:$E$47</definedName>
    <definedName name="Asymp_lag">'Markov Model'!$F$2:$F$47</definedName>
    <definedName name="beta">'Parameters and Analysis'!$O$5:$O$13</definedName>
    <definedName name="cAsymp">'Parameters and Analysis'!$B$5</definedName>
    <definedName name="cDeath">'Parameters and Analysis'!$B$6</definedName>
    <definedName name="cDR">'Parameters and Analysis'!$B$17</definedName>
    <definedName name="cDrug">'Parameters and Analysis'!$B$7</definedName>
    <definedName name="cProg">'Parameters and Analysis'!$B$9</definedName>
    <definedName name="cycle">'Parameters and Analysis'!$B$15</definedName>
    <definedName name="Death" localSheetId="3">'Markov Model (2)'!$H$2:$H$47</definedName>
    <definedName name="Death">'Markov Model'!$I$2:$I$47</definedName>
    <definedName name="Death_lag" localSheetId="3">'Markov Model (2)'!$I$3:$I$47</definedName>
    <definedName name="Death_lag">'Markov Model'!$J$3:$J$47</definedName>
    <definedName name="effect">'Parameters and Analysis'!$B$10</definedName>
    <definedName name="ini_age">'Parameters and Analysis'!$B$16</definedName>
    <definedName name="mean">'Parameters and Analysis'!$I$5:$I$13</definedName>
    <definedName name="n_cohort">'Parameters and Analysis'!$B$26</definedName>
    <definedName name="ncycle" localSheetId="3">'Markov Model (2)'!$A$2:$A$47</definedName>
    <definedName name="ncycle">'Markov Model'!$A$2:$A$47</definedName>
    <definedName name="nDeath" localSheetId="3">'Markov Model (2)'!#REF!</definedName>
    <definedName name="nDeath">'Markov Model'!#REF!</definedName>
    <definedName name="oDR">'Parameters and Analysis'!$B$18</definedName>
    <definedName name="Prog" localSheetId="3">'Markov Model (2)'!$F$2:$F$47</definedName>
    <definedName name="Prog">'Markov Model'!$G$2:$G$47</definedName>
    <definedName name="Prog_lag" localSheetId="3">'Markov Model (2)'!$G$2:$G$47</definedName>
    <definedName name="Prog_lag">'Markov Model'!$H$2:$H$47</definedName>
    <definedName name="rDeath" localSheetId="3">'Markov Model (2)'!$C$2:$C$48</definedName>
    <definedName name="rDeath">'Markov Model'!$C$2:$C$48</definedName>
    <definedName name="se">'Parameters and Analysis'!$M$5:$M$13</definedName>
    <definedName name="tpDcm">'Parameters and Analysis'!$B$8</definedName>
    <definedName name="tpProg">'Parameters and Analysis'!$B$11</definedName>
    <definedName name="uAsymp">'Parameters and Analysis'!$B$12</definedName>
    <definedName name="uProg">'Parameters and Analysis'!$B$13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6" i="31" l="1"/>
  <c r="F85" i="31"/>
  <c r="D85" i="31"/>
  <c r="F84" i="31"/>
  <c r="D84" i="31"/>
  <c r="F83" i="31"/>
  <c r="D83" i="31"/>
  <c r="F82" i="31"/>
  <c r="D82" i="31"/>
  <c r="F81" i="31"/>
  <c r="D81" i="31"/>
  <c r="F80" i="31"/>
  <c r="D80" i="31"/>
  <c r="F79" i="31"/>
  <c r="D79" i="31"/>
  <c r="F78" i="31"/>
  <c r="D78" i="31"/>
  <c r="F77" i="31"/>
  <c r="D77" i="31"/>
  <c r="F76" i="31"/>
  <c r="D76" i="31"/>
  <c r="F75" i="31"/>
  <c r="D75" i="31"/>
  <c r="F74" i="31"/>
  <c r="D74" i="31"/>
  <c r="F73" i="31"/>
  <c r="D73" i="31"/>
  <c r="J72" i="31"/>
  <c r="F72" i="31"/>
  <c r="D72" i="31"/>
  <c r="K71" i="31"/>
  <c r="J71" i="31"/>
  <c r="F71" i="31"/>
  <c r="D71" i="31"/>
  <c r="K70" i="31"/>
  <c r="J70" i="31"/>
  <c r="F70" i="31"/>
  <c r="D70" i="31"/>
  <c r="K69" i="31"/>
  <c r="J69" i="31"/>
  <c r="F69" i="31"/>
  <c r="D69" i="31"/>
  <c r="K68" i="31"/>
  <c r="J68" i="31"/>
  <c r="F68" i="31"/>
  <c r="D68" i="31"/>
  <c r="K67" i="31"/>
  <c r="J67" i="31"/>
  <c r="F67" i="31"/>
  <c r="D67" i="31"/>
  <c r="K66" i="31"/>
  <c r="J66" i="31"/>
  <c r="F66" i="31"/>
  <c r="D66" i="31"/>
  <c r="AD3" i="31"/>
  <c r="U3" i="31"/>
  <c r="AD4" i="31" s="1"/>
  <c r="P3" i="31"/>
  <c r="I3" i="31"/>
  <c r="G3" i="31"/>
  <c r="V3" i="31"/>
  <c r="D2" i="31"/>
  <c r="B2" i="5"/>
  <c r="B3" i="5"/>
  <c r="C3" i="5" s="1"/>
  <c r="B4" i="5"/>
  <c r="C4" i="5" s="1"/>
  <c r="B5" i="5"/>
  <c r="C5" i="5"/>
  <c r="B6" i="5"/>
  <c r="C6" i="5"/>
  <c r="B7" i="5"/>
  <c r="C7" i="5" s="1"/>
  <c r="B8" i="5"/>
  <c r="C8" i="5" s="1"/>
  <c r="B9" i="5"/>
  <c r="C9" i="5" s="1"/>
  <c r="B10" i="5"/>
  <c r="C10" i="5" s="1"/>
  <c r="B11" i="5"/>
  <c r="C11" i="5" s="1"/>
  <c r="B12" i="5"/>
  <c r="C12" i="5"/>
  <c r="B13" i="5"/>
  <c r="C13" i="5" s="1"/>
  <c r="B14" i="5"/>
  <c r="C14" i="5"/>
  <c r="B15" i="5"/>
  <c r="C15" i="5" s="1"/>
  <c r="B16" i="5"/>
  <c r="C16" i="5" s="1"/>
  <c r="B17" i="5"/>
  <c r="C17" i="5" s="1"/>
  <c r="B18" i="5"/>
  <c r="C18" i="5" s="1"/>
  <c r="B19" i="5"/>
  <c r="C19" i="5"/>
  <c r="B20" i="5"/>
  <c r="C20" i="5" s="1"/>
  <c r="B21" i="5"/>
  <c r="C21" i="5"/>
  <c r="B22" i="5"/>
  <c r="C22" i="5" s="1"/>
  <c r="B23" i="5"/>
  <c r="C23" i="5"/>
  <c r="B24" i="5"/>
  <c r="C24" i="5" s="1"/>
  <c r="B25" i="5"/>
  <c r="C25" i="5" s="1"/>
  <c r="B26" i="5"/>
  <c r="C26" i="5"/>
  <c r="B27" i="5"/>
  <c r="C27" i="5" s="1"/>
  <c r="B28" i="5"/>
  <c r="C28" i="5" s="1"/>
  <c r="B29" i="5"/>
  <c r="C29" i="5"/>
  <c r="B30" i="5"/>
  <c r="C30" i="5"/>
  <c r="B31" i="5"/>
  <c r="C31" i="5"/>
  <c r="B32" i="5"/>
  <c r="C32" i="5"/>
  <c r="B33" i="5"/>
  <c r="C33" i="5"/>
  <c r="B34" i="5"/>
  <c r="C34" i="5" s="1"/>
  <c r="B35" i="5"/>
  <c r="C35" i="5"/>
  <c r="B36" i="5"/>
  <c r="C36" i="5"/>
  <c r="B37" i="5"/>
  <c r="C37" i="5" s="1"/>
  <c r="B38" i="5"/>
  <c r="C38" i="5" s="1"/>
  <c r="B39" i="5"/>
  <c r="C39" i="5" s="1"/>
  <c r="B40" i="5"/>
  <c r="C40" i="5" s="1"/>
  <c r="B41" i="5"/>
  <c r="C41" i="5" s="1"/>
  <c r="B42" i="5"/>
  <c r="C42" i="5"/>
  <c r="B43" i="5"/>
  <c r="C43" i="5"/>
  <c r="B44" i="5"/>
  <c r="C44" i="5" s="1"/>
  <c r="B45" i="5"/>
  <c r="C45" i="5" s="1"/>
  <c r="B46" i="5"/>
  <c r="C46" i="5" s="1"/>
  <c r="B47" i="5"/>
  <c r="C47" i="5"/>
  <c r="J3" i="5"/>
  <c r="H3" i="5"/>
  <c r="E2" i="5"/>
  <c r="K73" i="31" l="1"/>
  <c r="D87" i="31"/>
  <c r="J73" i="31"/>
  <c r="T3" i="31"/>
  <c r="V4" i="31" s="1"/>
  <c r="E3" i="31"/>
  <c r="F3" i="31" s="1"/>
  <c r="F87" i="31"/>
  <c r="F3" i="5"/>
  <c r="H38" i="1"/>
  <c r="I38" i="1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66" i="5"/>
  <c r="AF3" i="5"/>
  <c r="R3" i="5"/>
  <c r="L66" i="5"/>
  <c r="M66" i="5"/>
  <c r="L67" i="5"/>
  <c r="M67" i="5"/>
  <c r="L68" i="5"/>
  <c r="M68" i="5"/>
  <c r="L69" i="5"/>
  <c r="M69" i="5"/>
  <c r="L70" i="5"/>
  <c r="M70" i="5"/>
  <c r="L71" i="5"/>
  <c r="M71" i="5"/>
  <c r="L72" i="5"/>
  <c r="M5" i="1"/>
  <c r="L5" i="1" s="1"/>
  <c r="M6" i="1"/>
  <c r="L6" i="1" s="1"/>
  <c r="M7" i="1"/>
  <c r="L7" i="1" s="1"/>
  <c r="M8" i="1"/>
  <c r="N8" i="1" s="1"/>
  <c r="O8" i="1" s="1"/>
  <c r="M9" i="1"/>
  <c r="L9" i="1" s="1"/>
  <c r="M10" i="1"/>
  <c r="L10" i="1" s="1"/>
  <c r="M11" i="1"/>
  <c r="N11" i="1" s="1"/>
  <c r="O11" i="1" s="1"/>
  <c r="M12" i="1"/>
  <c r="N12" i="1" s="1"/>
  <c r="O12" i="1" s="1"/>
  <c r="M13" i="1"/>
  <c r="N13" i="1" s="1"/>
  <c r="O13" i="1" s="1"/>
  <c r="G38" i="1"/>
  <c r="G39" i="1"/>
  <c r="G40" i="1"/>
  <c r="G41" i="1"/>
  <c r="G42" i="1"/>
  <c r="G43" i="1"/>
  <c r="G44" i="1"/>
  <c r="H3" i="31" l="1"/>
  <c r="U4" i="31"/>
  <c r="T4" i="31" s="1"/>
  <c r="V5" i="31" s="1"/>
  <c r="I4" i="31"/>
  <c r="P4" i="31"/>
  <c r="D3" i="31"/>
  <c r="G4" i="31"/>
  <c r="AA3" i="31"/>
  <c r="Z3" i="31"/>
  <c r="Y3" i="31"/>
  <c r="AC3" i="31"/>
  <c r="X3" i="31"/>
  <c r="I3" i="5"/>
  <c r="J4" i="5" s="1"/>
  <c r="E87" i="5"/>
  <c r="G87" i="5"/>
  <c r="M73" i="5"/>
  <c r="L13" i="1"/>
  <c r="L11" i="1"/>
  <c r="L12" i="1"/>
  <c r="L8" i="1"/>
  <c r="L73" i="5"/>
  <c r="AD5" i="31" l="1"/>
  <c r="U5" i="31"/>
  <c r="AD6" i="31" s="1"/>
  <c r="Z4" i="31"/>
  <c r="Y4" i="31"/>
  <c r="X4" i="31"/>
  <c r="AC4" i="31"/>
  <c r="AE4" i="31" s="1"/>
  <c r="AA4" i="31"/>
  <c r="AE3" i="31"/>
  <c r="K3" i="31"/>
  <c r="J3" i="31"/>
  <c r="O3" i="31"/>
  <c r="M3" i="31"/>
  <c r="L3" i="31"/>
  <c r="E4" i="31"/>
  <c r="F4" i="31" s="1"/>
  <c r="H4" i="31"/>
  <c r="G3" i="5"/>
  <c r="E3" i="5" s="1"/>
  <c r="X3" i="5"/>
  <c r="W3" i="5"/>
  <c r="T5" i="31" l="1"/>
  <c r="AA5" i="31" s="1"/>
  <c r="X5" i="31"/>
  <c r="AC5" i="31"/>
  <c r="AE5" i="31" s="1"/>
  <c r="G5" i="31"/>
  <c r="P5" i="31"/>
  <c r="D4" i="31"/>
  <c r="U6" i="31"/>
  <c r="I5" i="31"/>
  <c r="Q3" i="31"/>
  <c r="H4" i="5"/>
  <c r="F4" i="5"/>
  <c r="AF4" i="5"/>
  <c r="V3" i="5"/>
  <c r="X4" i="5" s="1"/>
  <c r="Y5" i="31" l="1"/>
  <c r="V6" i="31"/>
  <c r="T6" i="31" s="1"/>
  <c r="V7" i="31" s="1"/>
  <c r="Z5" i="31"/>
  <c r="J4" i="31"/>
  <c r="O4" i="31"/>
  <c r="M4" i="31"/>
  <c r="K4" i="31"/>
  <c r="E5" i="31"/>
  <c r="F5" i="31" s="1"/>
  <c r="L4" i="31"/>
  <c r="H5" i="31"/>
  <c r="AD7" i="31"/>
  <c r="I4" i="5"/>
  <c r="G4" i="5"/>
  <c r="H5" i="5" s="1"/>
  <c r="AA3" i="5"/>
  <c r="AE3" i="5"/>
  <c r="AG3" i="5" s="1"/>
  <c r="AB3" i="5"/>
  <c r="Z3" i="5"/>
  <c r="AC3" i="5"/>
  <c r="W4" i="5"/>
  <c r="G6" i="31" l="1"/>
  <c r="D5" i="31"/>
  <c r="P6" i="31"/>
  <c r="I6" i="31"/>
  <c r="X6" i="31"/>
  <c r="AC6" i="31"/>
  <c r="AA6" i="31"/>
  <c r="Z6" i="31"/>
  <c r="Y6" i="31"/>
  <c r="U7" i="31"/>
  <c r="Q4" i="31"/>
  <c r="AF5" i="5"/>
  <c r="V4" i="5"/>
  <c r="AD8" i="31" l="1"/>
  <c r="T7" i="31"/>
  <c r="V8" i="31" s="1"/>
  <c r="O5" i="31"/>
  <c r="M5" i="31"/>
  <c r="E6" i="31"/>
  <c r="F6" i="31" s="1"/>
  <c r="L5" i="31"/>
  <c r="K5" i="31"/>
  <c r="J5" i="31"/>
  <c r="AE6" i="31"/>
  <c r="AA4" i="5"/>
  <c r="AB4" i="5"/>
  <c r="X5" i="5"/>
  <c r="AE4" i="5"/>
  <c r="AG4" i="5" s="1"/>
  <c r="Z4" i="5"/>
  <c r="AC4" i="5"/>
  <c r="W5" i="5"/>
  <c r="G7" i="31" l="1"/>
  <c r="P7" i="31"/>
  <c r="Q5" i="31"/>
  <c r="H6" i="31"/>
  <c r="AA7" i="31"/>
  <c r="X7" i="31"/>
  <c r="AC7" i="31"/>
  <c r="Z7" i="31"/>
  <c r="Y7" i="31"/>
  <c r="U8" i="31"/>
  <c r="AF6" i="5"/>
  <c r="V5" i="5"/>
  <c r="X6" i="5" s="1"/>
  <c r="AD9" i="31" l="1"/>
  <c r="T8" i="31"/>
  <c r="V9" i="31" s="1"/>
  <c r="I7" i="31"/>
  <c r="AE7" i="31"/>
  <c r="D6" i="31"/>
  <c r="AA5" i="5"/>
  <c r="AE5" i="5"/>
  <c r="AG5" i="5" s="1"/>
  <c r="Z5" i="5"/>
  <c r="AC5" i="5"/>
  <c r="AB5" i="5"/>
  <c r="W6" i="5"/>
  <c r="E7" i="31" l="1"/>
  <c r="F7" i="31" s="1"/>
  <c r="O6" i="31"/>
  <c r="M6" i="31"/>
  <c r="L6" i="31"/>
  <c r="K6" i="31"/>
  <c r="J6" i="31"/>
  <c r="Z8" i="31"/>
  <c r="AC8" i="31"/>
  <c r="AE8" i="31" s="1"/>
  <c r="AA8" i="31"/>
  <c r="Y8" i="31"/>
  <c r="X8" i="31"/>
  <c r="U9" i="31"/>
  <c r="AF7" i="5"/>
  <c r="V6" i="5"/>
  <c r="H7" i="31" l="1"/>
  <c r="I8" i="31" s="1"/>
  <c r="AD10" i="31"/>
  <c r="T9" i="31"/>
  <c r="Q6" i="31"/>
  <c r="G8" i="31"/>
  <c r="P8" i="31"/>
  <c r="Z6" i="5"/>
  <c r="AB6" i="5"/>
  <c r="AA6" i="5"/>
  <c r="X7" i="5"/>
  <c r="AE6" i="5"/>
  <c r="AG6" i="5" s="1"/>
  <c r="AC6" i="5"/>
  <c r="W7" i="5"/>
  <c r="D7" i="31" l="1"/>
  <c r="AC9" i="31"/>
  <c r="AE9" i="31" s="1"/>
  <c r="Y9" i="31"/>
  <c r="X9" i="31"/>
  <c r="AA9" i="31"/>
  <c r="Z9" i="31"/>
  <c r="V10" i="31"/>
  <c r="U10" i="31"/>
  <c r="F8" i="31"/>
  <c r="O7" i="31"/>
  <c r="M7" i="31"/>
  <c r="L7" i="31"/>
  <c r="K7" i="31"/>
  <c r="J7" i="31"/>
  <c r="E8" i="31"/>
  <c r="H8" i="31"/>
  <c r="I9" i="31" s="1"/>
  <c r="AF8" i="5"/>
  <c r="V7" i="5"/>
  <c r="P9" i="31" l="1"/>
  <c r="D8" i="31"/>
  <c r="G9" i="31"/>
  <c r="Q7" i="31"/>
  <c r="AD11" i="31"/>
  <c r="T10" i="31"/>
  <c r="V11" i="31" s="1"/>
  <c r="AA7" i="5"/>
  <c r="Z7" i="5"/>
  <c r="AC7" i="5"/>
  <c r="AE7" i="5"/>
  <c r="AG7" i="5" s="1"/>
  <c r="AB7" i="5"/>
  <c r="X8" i="5"/>
  <c r="W8" i="5"/>
  <c r="AA10" i="31" l="1"/>
  <c r="X10" i="31"/>
  <c r="Z10" i="31"/>
  <c r="AC10" i="31"/>
  <c r="AE10" i="31" s="1"/>
  <c r="Y10" i="31"/>
  <c r="F9" i="31"/>
  <c r="U11" i="31"/>
  <c r="M8" i="31"/>
  <c r="J8" i="31"/>
  <c r="K8" i="31"/>
  <c r="O8" i="31"/>
  <c r="Q8" i="31" s="1"/>
  <c r="L8" i="31"/>
  <c r="E9" i="31"/>
  <c r="H9" i="31" s="1"/>
  <c r="I10" i="31" s="1"/>
  <c r="AF9" i="5"/>
  <c r="V8" i="5"/>
  <c r="AD12" i="31" l="1"/>
  <c r="T11" i="31"/>
  <c r="P10" i="31"/>
  <c r="D9" i="31"/>
  <c r="G10" i="31"/>
  <c r="V12" i="31"/>
  <c r="AB8" i="5"/>
  <c r="Z8" i="5"/>
  <c r="AE8" i="5"/>
  <c r="AG8" i="5" s="1"/>
  <c r="AA8" i="5"/>
  <c r="AC8" i="5"/>
  <c r="X9" i="5"/>
  <c r="W9" i="5"/>
  <c r="AC11" i="31" l="1"/>
  <c r="AE11" i="31" s="1"/>
  <c r="Z11" i="31"/>
  <c r="X11" i="31"/>
  <c r="AA11" i="31"/>
  <c r="Y11" i="31"/>
  <c r="E10" i="31"/>
  <c r="H10" i="31" s="1"/>
  <c r="I11" i="31" s="1"/>
  <c r="L9" i="31"/>
  <c r="J9" i="31"/>
  <c r="K9" i="31"/>
  <c r="O9" i="31"/>
  <c r="Q9" i="31" s="1"/>
  <c r="M9" i="31"/>
  <c r="U12" i="31"/>
  <c r="AF10" i="5"/>
  <c r="V9" i="5"/>
  <c r="X10" i="5" s="1"/>
  <c r="T12" i="31" l="1"/>
  <c r="V13" i="31" s="1"/>
  <c r="AD13" i="31"/>
  <c r="F10" i="31"/>
  <c r="W10" i="5"/>
  <c r="AF11" i="5" s="1"/>
  <c r="Z9" i="5"/>
  <c r="AC9" i="5"/>
  <c r="AA9" i="5"/>
  <c r="AB9" i="5"/>
  <c r="AE9" i="5"/>
  <c r="AG9" i="5" s="1"/>
  <c r="AC12" i="31" l="1"/>
  <c r="AE12" i="31" s="1"/>
  <c r="AA12" i="31"/>
  <c r="Y12" i="31"/>
  <c r="Z12" i="31"/>
  <c r="X12" i="31"/>
  <c r="U13" i="31"/>
  <c r="G11" i="31"/>
  <c r="D10" i="31"/>
  <c r="P11" i="31"/>
  <c r="V10" i="5"/>
  <c r="Z10" i="5" s="1"/>
  <c r="X11" i="5" l="1"/>
  <c r="O10" i="31"/>
  <c r="Q10" i="31" s="1"/>
  <c r="M10" i="31"/>
  <c r="K10" i="31"/>
  <c r="L10" i="31"/>
  <c r="J10" i="31"/>
  <c r="E11" i="31"/>
  <c r="H11" i="31" s="1"/>
  <c r="I12" i="31" s="1"/>
  <c r="AD14" i="31"/>
  <c r="T13" i="31"/>
  <c r="AC10" i="5"/>
  <c r="AB10" i="5"/>
  <c r="W11" i="5"/>
  <c r="AF12" i="5" s="1"/>
  <c r="AA10" i="5"/>
  <c r="AE10" i="5"/>
  <c r="AG10" i="5" s="1"/>
  <c r="V11" i="5"/>
  <c r="AB11" i="5" s="1"/>
  <c r="AA13" i="31" l="1"/>
  <c r="Z13" i="31"/>
  <c r="X13" i="31"/>
  <c r="AC13" i="31"/>
  <c r="AE13" i="31" s="1"/>
  <c r="Y13" i="31"/>
  <c r="V14" i="31"/>
  <c r="U14" i="31"/>
  <c r="F11" i="31"/>
  <c r="AA11" i="5"/>
  <c r="Z11" i="5"/>
  <c r="W12" i="5"/>
  <c r="AF13" i="5" s="1"/>
  <c r="X12" i="5"/>
  <c r="AE11" i="5"/>
  <c r="AG11" i="5" s="1"/>
  <c r="AC11" i="5"/>
  <c r="AD15" i="31" l="1"/>
  <c r="T14" i="31"/>
  <c r="P12" i="31"/>
  <c r="D11" i="31"/>
  <c r="G12" i="31"/>
  <c r="V15" i="31"/>
  <c r="V12" i="5"/>
  <c r="X13" i="5" s="1"/>
  <c r="AE12" i="5"/>
  <c r="AG12" i="5" s="1"/>
  <c r="W13" i="5"/>
  <c r="AF14" i="5" s="1"/>
  <c r="AC12" i="5"/>
  <c r="AB12" i="5" l="1"/>
  <c r="M11" i="31"/>
  <c r="L11" i="31"/>
  <c r="J11" i="31"/>
  <c r="E12" i="31"/>
  <c r="F12" i="31" s="1"/>
  <c r="O11" i="31"/>
  <c r="Q11" i="31" s="1"/>
  <c r="K11" i="31"/>
  <c r="Z14" i="31"/>
  <c r="Y14" i="31"/>
  <c r="AC14" i="31"/>
  <c r="AE14" i="31" s="1"/>
  <c r="AA14" i="31"/>
  <c r="X14" i="31"/>
  <c r="AA12" i="5"/>
  <c r="Z12" i="5"/>
  <c r="U15" i="31"/>
  <c r="V13" i="5"/>
  <c r="X14" i="5" s="1"/>
  <c r="P13" i="31" l="1"/>
  <c r="G13" i="31"/>
  <c r="AD16" i="31"/>
  <c r="T15" i="31"/>
  <c r="H12" i="31"/>
  <c r="I13" i="31" s="1"/>
  <c r="V16" i="31"/>
  <c r="AA13" i="5"/>
  <c r="W14" i="5"/>
  <c r="AF15" i="5" s="1"/>
  <c r="Z13" i="5"/>
  <c r="AB13" i="5"/>
  <c r="AE13" i="5"/>
  <c r="AG13" i="5" s="1"/>
  <c r="AC13" i="5"/>
  <c r="AC15" i="31" l="1"/>
  <c r="AE15" i="31" s="1"/>
  <c r="Y15" i="31"/>
  <c r="X15" i="31"/>
  <c r="Z15" i="31"/>
  <c r="AA15" i="31"/>
  <c r="U16" i="31"/>
  <c r="D12" i="31"/>
  <c r="V14" i="5"/>
  <c r="Z14" i="5" s="1"/>
  <c r="AD17" i="31" l="1"/>
  <c r="T16" i="31"/>
  <c r="L12" i="31"/>
  <c r="K12" i="31"/>
  <c r="E13" i="31"/>
  <c r="O12" i="31"/>
  <c r="Q12" i="31" s="1"/>
  <c r="M12" i="31"/>
  <c r="J12" i="31"/>
  <c r="V17" i="31"/>
  <c r="W15" i="5"/>
  <c r="AF16" i="5" s="1"/>
  <c r="AA14" i="5"/>
  <c r="AE14" i="5"/>
  <c r="AG14" i="5" s="1"/>
  <c r="AC14" i="5"/>
  <c r="X15" i="5"/>
  <c r="AB14" i="5"/>
  <c r="AA16" i="31" l="1"/>
  <c r="X16" i="31"/>
  <c r="AC16" i="31"/>
  <c r="AE16" i="31" s="1"/>
  <c r="Z16" i="31"/>
  <c r="Y16" i="31"/>
  <c r="H13" i="31"/>
  <c r="I14" i="31" s="1"/>
  <c r="F13" i="31"/>
  <c r="U17" i="31"/>
  <c r="V15" i="5"/>
  <c r="AA15" i="5" s="1"/>
  <c r="AD18" i="31" l="1"/>
  <c r="T17" i="31"/>
  <c r="G14" i="31"/>
  <c r="P14" i="31"/>
  <c r="D13" i="31"/>
  <c r="V18" i="31"/>
  <c r="Z15" i="5"/>
  <c r="X16" i="5"/>
  <c r="AB15" i="5"/>
  <c r="AE15" i="5"/>
  <c r="AG15" i="5" s="1"/>
  <c r="W16" i="5"/>
  <c r="AF17" i="5" s="1"/>
  <c r="AC15" i="5"/>
  <c r="Z17" i="31" l="1"/>
  <c r="Y17" i="31"/>
  <c r="X17" i="31"/>
  <c r="AC17" i="31"/>
  <c r="AE17" i="31" s="1"/>
  <c r="AA17" i="31"/>
  <c r="O13" i="31"/>
  <c r="Q13" i="31" s="1"/>
  <c r="K13" i="31"/>
  <c r="J13" i="31"/>
  <c r="E14" i="31"/>
  <c r="F14" i="31" s="1"/>
  <c r="M13" i="31"/>
  <c r="L13" i="31"/>
  <c r="U18" i="31"/>
  <c r="V16" i="5"/>
  <c r="AB16" i="5" s="1"/>
  <c r="P15" i="31" l="1"/>
  <c r="G15" i="31"/>
  <c r="H14" i="31"/>
  <c r="I15" i="31" s="1"/>
  <c r="AD19" i="31"/>
  <c r="T18" i="31"/>
  <c r="Z16" i="5"/>
  <c r="AA16" i="5"/>
  <c r="AC16" i="5"/>
  <c r="X17" i="5"/>
  <c r="AE16" i="5"/>
  <c r="AG16" i="5" s="1"/>
  <c r="W17" i="5"/>
  <c r="AF18" i="5" s="1"/>
  <c r="Y18" i="31" l="1"/>
  <c r="AC18" i="31"/>
  <c r="AE18" i="31" s="1"/>
  <c r="AA18" i="31"/>
  <c r="Z18" i="31"/>
  <c r="X18" i="31"/>
  <c r="V19" i="31"/>
  <c r="U19" i="31"/>
  <c r="D14" i="31"/>
  <c r="V17" i="5"/>
  <c r="W18" i="5" s="1"/>
  <c r="AF19" i="5" s="1"/>
  <c r="M14" i="31" l="1"/>
  <c r="J14" i="31"/>
  <c r="O14" i="31"/>
  <c r="Q14" i="31" s="1"/>
  <c r="L14" i="31"/>
  <c r="E15" i="31"/>
  <c r="K14" i="31"/>
  <c r="AD20" i="31"/>
  <c r="T19" i="31"/>
  <c r="U20" i="31" s="1"/>
  <c r="Z17" i="5"/>
  <c r="AC17" i="5"/>
  <c r="X18" i="5"/>
  <c r="V18" i="5" s="1"/>
  <c r="AE17" i="5"/>
  <c r="AG17" i="5" s="1"/>
  <c r="AA17" i="5"/>
  <c r="AB17" i="5"/>
  <c r="AD21" i="31" l="1"/>
  <c r="X19" i="31"/>
  <c r="AA19" i="31"/>
  <c r="Y19" i="31"/>
  <c r="AC19" i="31"/>
  <c r="AE19" i="31" s="1"/>
  <c r="Z19" i="31"/>
  <c r="V20" i="31"/>
  <c r="T20" i="31" s="1"/>
  <c r="H15" i="31"/>
  <c r="I16" i="31" s="1"/>
  <c r="F15" i="31"/>
  <c r="AE18" i="5"/>
  <c r="AG18" i="5" s="1"/>
  <c r="X19" i="5"/>
  <c r="W19" i="5"/>
  <c r="AF20" i="5" s="1"/>
  <c r="AC18" i="5"/>
  <c r="AB18" i="5"/>
  <c r="Z18" i="5"/>
  <c r="AA18" i="5"/>
  <c r="Z20" i="31" l="1"/>
  <c r="AC20" i="31"/>
  <c r="AE20" i="31" s="1"/>
  <c r="AA20" i="31"/>
  <c r="Y20" i="31"/>
  <c r="X20" i="31"/>
  <c r="U21" i="31"/>
  <c r="G16" i="31"/>
  <c r="P16" i="31"/>
  <c r="D15" i="31"/>
  <c r="V21" i="31"/>
  <c r="V19" i="5"/>
  <c r="AA19" i="5" s="1"/>
  <c r="L15" i="31" l="1"/>
  <c r="E16" i="31"/>
  <c r="H16" i="31" s="1"/>
  <c r="I17" i="31" s="1"/>
  <c r="K15" i="31"/>
  <c r="J15" i="31"/>
  <c r="O15" i="31"/>
  <c r="Q15" i="31" s="1"/>
  <c r="M15" i="31"/>
  <c r="AD22" i="31"/>
  <c r="T21" i="31"/>
  <c r="X20" i="5"/>
  <c r="W20" i="5"/>
  <c r="AF21" i="5" s="1"/>
  <c r="AE19" i="5"/>
  <c r="AG19" i="5" s="1"/>
  <c r="AB19" i="5"/>
  <c r="Z19" i="5"/>
  <c r="AC19" i="5"/>
  <c r="AC21" i="31" l="1"/>
  <c r="AE21" i="31" s="1"/>
  <c r="Y21" i="31"/>
  <c r="X21" i="31"/>
  <c r="AA21" i="31"/>
  <c r="Z21" i="31"/>
  <c r="U22" i="31"/>
  <c r="F16" i="31"/>
  <c r="V22" i="31"/>
  <c r="V20" i="5"/>
  <c r="W21" i="5" s="1"/>
  <c r="AF22" i="5" s="1"/>
  <c r="AD23" i="31" l="1"/>
  <c r="T22" i="31"/>
  <c r="G17" i="31"/>
  <c r="D16" i="31"/>
  <c r="P17" i="31"/>
  <c r="AE20" i="5"/>
  <c r="AG20" i="5" s="1"/>
  <c r="AA20" i="5"/>
  <c r="X21" i="5"/>
  <c r="V21" i="5" s="1"/>
  <c r="AB20" i="5"/>
  <c r="Z20" i="5"/>
  <c r="AC20" i="5"/>
  <c r="AA22" i="31" l="1"/>
  <c r="X22" i="31"/>
  <c r="AC22" i="31"/>
  <c r="AE22" i="31" s="1"/>
  <c r="Z22" i="31"/>
  <c r="Y22" i="31"/>
  <c r="K16" i="31"/>
  <c r="O16" i="31"/>
  <c r="Q16" i="31" s="1"/>
  <c r="M16" i="31"/>
  <c r="E17" i="31"/>
  <c r="H17" i="31" s="1"/>
  <c r="I18" i="31" s="1"/>
  <c r="L16" i="31"/>
  <c r="J16" i="31"/>
  <c r="F17" i="31"/>
  <c r="V23" i="31"/>
  <c r="U23" i="31"/>
  <c r="W22" i="5"/>
  <c r="AF23" i="5" s="1"/>
  <c r="AC21" i="5"/>
  <c r="AE21" i="5"/>
  <c r="AG21" i="5" s="1"/>
  <c r="AB21" i="5"/>
  <c r="X22" i="5"/>
  <c r="AA21" i="5"/>
  <c r="Z21" i="5"/>
  <c r="P18" i="31" l="1"/>
  <c r="D17" i="31"/>
  <c r="G18" i="31"/>
  <c r="AD24" i="31"/>
  <c r="T23" i="31"/>
  <c r="V22" i="5"/>
  <c r="AB22" i="5" s="1"/>
  <c r="AC23" i="31" l="1"/>
  <c r="AE23" i="31" s="1"/>
  <c r="Z23" i="31"/>
  <c r="X23" i="31"/>
  <c r="AA23" i="31"/>
  <c r="Y23" i="31"/>
  <c r="U24" i="31"/>
  <c r="V24" i="31"/>
  <c r="J17" i="31"/>
  <c r="E18" i="31"/>
  <c r="H18" i="31" s="1"/>
  <c r="I19" i="31" s="1"/>
  <c r="M17" i="31"/>
  <c r="K17" i="31"/>
  <c r="O17" i="31"/>
  <c r="Q17" i="31" s="1"/>
  <c r="L17" i="31"/>
  <c r="X23" i="5"/>
  <c r="AC22" i="5"/>
  <c r="AA22" i="5"/>
  <c r="Z22" i="5"/>
  <c r="W23" i="5"/>
  <c r="AF24" i="5" s="1"/>
  <c r="AE22" i="5"/>
  <c r="AG22" i="5" s="1"/>
  <c r="F18" i="31" l="1"/>
  <c r="AD25" i="31"/>
  <c r="T24" i="31"/>
  <c r="V23" i="5"/>
  <c r="W24" i="5" s="1"/>
  <c r="AF25" i="5" s="1"/>
  <c r="AC23" i="5"/>
  <c r="AA23" i="5"/>
  <c r="AB23" i="5"/>
  <c r="Z23" i="5"/>
  <c r="AE23" i="5"/>
  <c r="AG23" i="5" s="1"/>
  <c r="AC24" i="31" l="1"/>
  <c r="AE24" i="31" s="1"/>
  <c r="AA24" i="31"/>
  <c r="Z24" i="31"/>
  <c r="Y24" i="31"/>
  <c r="X24" i="31"/>
  <c r="G19" i="31"/>
  <c r="D18" i="31"/>
  <c r="P19" i="31"/>
  <c r="V25" i="31"/>
  <c r="U25" i="31"/>
  <c r="X24" i="5"/>
  <c r="V24" i="5"/>
  <c r="AD26" i="31" l="1"/>
  <c r="T25" i="31"/>
  <c r="E19" i="31"/>
  <c r="L18" i="31"/>
  <c r="O18" i="31"/>
  <c r="Q18" i="31" s="1"/>
  <c r="M18" i="31"/>
  <c r="K18" i="31"/>
  <c r="J18" i="31"/>
  <c r="F19" i="31"/>
  <c r="H19" i="31"/>
  <c r="I20" i="31" s="1"/>
  <c r="AC24" i="5"/>
  <c r="AB24" i="5"/>
  <c r="AA24" i="5"/>
  <c r="AE24" i="5"/>
  <c r="AG24" i="5" s="1"/>
  <c r="Z24" i="5"/>
  <c r="W25" i="5"/>
  <c r="X25" i="5"/>
  <c r="G20" i="31" l="1"/>
  <c r="P20" i="31"/>
  <c r="D19" i="31"/>
  <c r="AA25" i="31"/>
  <c r="Z25" i="31"/>
  <c r="Y25" i="31"/>
  <c r="X25" i="31"/>
  <c r="AC25" i="31"/>
  <c r="AE25" i="31" s="1"/>
  <c r="U26" i="31"/>
  <c r="V26" i="31"/>
  <c r="V25" i="5"/>
  <c r="W26" i="5" s="1"/>
  <c r="AF26" i="5"/>
  <c r="O19" i="31" l="1"/>
  <c r="Q19" i="31" s="1"/>
  <c r="K19" i="31"/>
  <c r="J19" i="31"/>
  <c r="E20" i="31"/>
  <c r="M19" i="31"/>
  <c r="L19" i="31"/>
  <c r="AD27" i="31"/>
  <c r="T26" i="31"/>
  <c r="F20" i="31"/>
  <c r="V27" i="31"/>
  <c r="H20" i="31"/>
  <c r="I21" i="31" s="1"/>
  <c r="AF27" i="5"/>
  <c r="X26" i="5"/>
  <c r="AA25" i="5"/>
  <c r="Z25" i="5"/>
  <c r="AB25" i="5"/>
  <c r="AC25" i="5"/>
  <c r="AE25" i="5"/>
  <c r="AG25" i="5" s="1"/>
  <c r="P21" i="31" l="1"/>
  <c r="D20" i="31"/>
  <c r="G21" i="31"/>
  <c r="Z26" i="31"/>
  <c r="Y26" i="31"/>
  <c r="X26" i="31"/>
  <c r="AC26" i="31"/>
  <c r="AE26" i="31" s="1"/>
  <c r="AA26" i="31"/>
  <c r="U27" i="31"/>
  <c r="V26" i="5"/>
  <c r="AD28" i="31" l="1"/>
  <c r="T27" i="31"/>
  <c r="V28" i="31"/>
  <c r="M20" i="31"/>
  <c r="J20" i="31"/>
  <c r="O20" i="31"/>
  <c r="Q20" i="31" s="1"/>
  <c r="K20" i="31"/>
  <c r="E21" i="31"/>
  <c r="F21" i="31" s="1"/>
  <c r="L20" i="31"/>
  <c r="H21" i="31"/>
  <c r="I22" i="31" s="1"/>
  <c r="AA26" i="5"/>
  <c r="Z26" i="5"/>
  <c r="AE26" i="5"/>
  <c r="AG26" i="5" s="1"/>
  <c r="AB26" i="5"/>
  <c r="AC26" i="5"/>
  <c r="W27" i="5"/>
  <c r="X27" i="5"/>
  <c r="P22" i="31" l="1"/>
  <c r="D21" i="31"/>
  <c r="G22" i="31"/>
  <c r="AC27" i="31"/>
  <c r="AE27" i="31" s="1"/>
  <c r="Y27" i="31"/>
  <c r="X27" i="31"/>
  <c r="AA27" i="31"/>
  <c r="Z27" i="31"/>
  <c r="U28" i="31"/>
  <c r="AF28" i="5"/>
  <c r="V27" i="5"/>
  <c r="AD29" i="31" l="1"/>
  <c r="T28" i="31"/>
  <c r="V29" i="31"/>
  <c r="E22" i="31"/>
  <c r="H22" i="31" s="1"/>
  <c r="I23" i="31" s="1"/>
  <c r="O21" i="31"/>
  <c r="Q21" i="31" s="1"/>
  <c r="L21" i="31"/>
  <c r="J21" i="31"/>
  <c r="M21" i="31"/>
  <c r="K21" i="31"/>
  <c r="AA27" i="5"/>
  <c r="AB27" i="5"/>
  <c r="AE27" i="5"/>
  <c r="AG27" i="5" s="1"/>
  <c r="AC27" i="5"/>
  <c r="Z27" i="5"/>
  <c r="W28" i="5"/>
  <c r="X28" i="5"/>
  <c r="F22" i="31" l="1"/>
  <c r="AC28" i="31"/>
  <c r="AE28" i="31" s="1"/>
  <c r="AA28" i="31"/>
  <c r="X28" i="31"/>
  <c r="Y28" i="31"/>
  <c r="Z28" i="31"/>
  <c r="U29" i="31"/>
  <c r="V28" i="5"/>
  <c r="X29" i="5" s="1"/>
  <c r="AF29" i="5"/>
  <c r="AD30" i="31" l="1"/>
  <c r="T29" i="31"/>
  <c r="V30" i="31"/>
  <c r="G23" i="31"/>
  <c r="D22" i="31"/>
  <c r="P23" i="31"/>
  <c r="W29" i="5"/>
  <c r="AF30" i="5" s="1"/>
  <c r="AB28" i="5"/>
  <c r="AA28" i="5"/>
  <c r="Z28" i="5"/>
  <c r="AE28" i="5"/>
  <c r="AG28" i="5" s="1"/>
  <c r="AC28" i="5"/>
  <c r="O22" i="31" l="1"/>
  <c r="Q22" i="31" s="1"/>
  <c r="M22" i="31"/>
  <c r="K22" i="31"/>
  <c r="L22" i="31"/>
  <c r="J22" i="31"/>
  <c r="E23" i="31"/>
  <c r="F23" i="31"/>
  <c r="H23" i="31"/>
  <c r="I24" i="31" s="1"/>
  <c r="AA29" i="31"/>
  <c r="Z29" i="31"/>
  <c r="Y29" i="31"/>
  <c r="AC29" i="31"/>
  <c r="AE29" i="31" s="1"/>
  <c r="X29" i="31"/>
  <c r="U30" i="31"/>
  <c r="V29" i="5"/>
  <c r="X30" i="5" s="1"/>
  <c r="P24" i="31" l="1"/>
  <c r="D23" i="31"/>
  <c r="G24" i="31"/>
  <c r="AD31" i="31"/>
  <c r="T30" i="31"/>
  <c r="W30" i="5"/>
  <c r="AF31" i="5" s="1"/>
  <c r="AC29" i="5"/>
  <c r="AB29" i="5"/>
  <c r="AA29" i="5"/>
  <c r="AE29" i="5"/>
  <c r="AG29" i="5" s="1"/>
  <c r="Z29" i="5"/>
  <c r="Z30" i="31" l="1"/>
  <c r="Y30" i="31"/>
  <c r="AC30" i="31"/>
  <c r="AE30" i="31" s="1"/>
  <c r="AA30" i="31"/>
  <c r="X30" i="31"/>
  <c r="M23" i="31"/>
  <c r="L23" i="31"/>
  <c r="J23" i="31"/>
  <c r="E24" i="31"/>
  <c r="H24" i="31" s="1"/>
  <c r="I25" i="31" s="1"/>
  <c r="O23" i="31"/>
  <c r="Q23" i="31" s="1"/>
  <c r="K23" i="31"/>
  <c r="V31" i="31"/>
  <c r="U31" i="31"/>
  <c r="V30" i="5"/>
  <c r="W31" i="5" s="1"/>
  <c r="AF32" i="5" s="1"/>
  <c r="AE30" i="5"/>
  <c r="AG30" i="5" s="1"/>
  <c r="AB30" i="5"/>
  <c r="AA30" i="5"/>
  <c r="Z30" i="5"/>
  <c r="AC30" i="5"/>
  <c r="X31" i="5"/>
  <c r="F24" i="31" l="1"/>
  <c r="AD32" i="31"/>
  <c r="T31" i="31"/>
  <c r="V32" i="31" s="1"/>
  <c r="V31" i="5"/>
  <c r="Y31" i="31" l="1"/>
  <c r="X31" i="31"/>
  <c r="AA31" i="31"/>
  <c r="AC31" i="31"/>
  <c r="AE31" i="31" s="1"/>
  <c r="Z31" i="31"/>
  <c r="U32" i="31"/>
  <c r="P25" i="31"/>
  <c r="D24" i="31"/>
  <c r="G25" i="31"/>
  <c r="AA31" i="5"/>
  <c r="Z31" i="5"/>
  <c r="AB31" i="5"/>
  <c r="AE31" i="5"/>
  <c r="AG31" i="5" s="1"/>
  <c r="AC31" i="5"/>
  <c r="W32" i="5"/>
  <c r="X32" i="5"/>
  <c r="AD33" i="31" l="1"/>
  <c r="T32" i="31"/>
  <c r="L24" i="31"/>
  <c r="K24" i="31"/>
  <c r="E25" i="31"/>
  <c r="O24" i="31"/>
  <c r="Q24" i="31" s="1"/>
  <c r="M24" i="31"/>
  <c r="J24" i="31"/>
  <c r="F25" i="31"/>
  <c r="H25" i="31"/>
  <c r="I26" i="31" s="1"/>
  <c r="V33" i="31"/>
  <c r="AF33" i="5"/>
  <c r="V32" i="5"/>
  <c r="W33" i="5" s="1"/>
  <c r="G26" i="31" l="1"/>
  <c r="P26" i="31"/>
  <c r="D25" i="31"/>
  <c r="X32" i="31"/>
  <c r="Z32" i="31"/>
  <c r="AC32" i="31"/>
  <c r="AE32" i="31" s="1"/>
  <c r="Y32" i="31"/>
  <c r="AA32" i="31"/>
  <c r="U33" i="31"/>
  <c r="AF34" i="5"/>
  <c r="AA32" i="5"/>
  <c r="Z32" i="5"/>
  <c r="AB32" i="5"/>
  <c r="AC32" i="5"/>
  <c r="AE32" i="5"/>
  <c r="AG32" i="5" s="1"/>
  <c r="X33" i="5"/>
  <c r="V33" i="5" s="1"/>
  <c r="O25" i="31" l="1"/>
  <c r="Q25" i="31" s="1"/>
  <c r="K25" i="31"/>
  <c r="J25" i="31"/>
  <c r="L25" i="31"/>
  <c r="M25" i="31"/>
  <c r="E26" i="31"/>
  <c r="H26" i="31" s="1"/>
  <c r="I27" i="31" s="1"/>
  <c r="AD34" i="31"/>
  <c r="T33" i="31"/>
  <c r="F26" i="31"/>
  <c r="V34" i="31"/>
  <c r="X34" i="5"/>
  <c r="AA33" i="5"/>
  <c r="AB33" i="5"/>
  <c r="AE33" i="5"/>
  <c r="AG33" i="5" s="1"/>
  <c r="AC33" i="5"/>
  <c r="Z33" i="5"/>
  <c r="W34" i="5"/>
  <c r="G27" i="31" l="1"/>
  <c r="P27" i="31"/>
  <c r="D26" i="31"/>
  <c r="AC33" i="31"/>
  <c r="AE33" i="31" s="1"/>
  <c r="Y33" i="31"/>
  <c r="AA33" i="31"/>
  <c r="Z33" i="31"/>
  <c r="X33" i="31"/>
  <c r="U34" i="31"/>
  <c r="AF35" i="5"/>
  <c r="V34" i="5"/>
  <c r="X35" i="5" s="1"/>
  <c r="O26" i="31" l="1"/>
  <c r="Q26" i="31" s="1"/>
  <c r="M26" i="31"/>
  <c r="J26" i="31"/>
  <c r="L26" i="31"/>
  <c r="K26" i="31"/>
  <c r="E27" i="31"/>
  <c r="H27" i="31" s="1"/>
  <c r="I28" i="31" s="1"/>
  <c r="AD35" i="31"/>
  <c r="T34" i="31"/>
  <c r="F27" i="31"/>
  <c r="W35" i="5"/>
  <c r="Z34" i="5"/>
  <c r="AA34" i="5"/>
  <c r="AC34" i="5"/>
  <c r="AB34" i="5"/>
  <c r="AE34" i="5"/>
  <c r="AG34" i="5" s="1"/>
  <c r="AC34" i="31" l="1"/>
  <c r="AE34" i="31" s="1"/>
  <c r="AA34" i="31"/>
  <c r="X34" i="31"/>
  <c r="Z34" i="31"/>
  <c r="Y34" i="31"/>
  <c r="G28" i="31"/>
  <c r="D27" i="31"/>
  <c r="P28" i="31"/>
  <c r="U35" i="31"/>
  <c r="V35" i="31"/>
  <c r="AF36" i="5"/>
  <c r="V35" i="5"/>
  <c r="X36" i="5" s="1"/>
  <c r="AD36" i="31" l="1"/>
  <c r="T35" i="31"/>
  <c r="V36" i="31"/>
  <c r="M27" i="31"/>
  <c r="L27" i="31"/>
  <c r="E28" i="31"/>
  <c r="H28" i="31" s="1"/>
  <c r="I29" i="31" s="1"/>
  <c r="O27" i="31"/>
  <c r="Q27" i="31" s="1"/>
  <c r="K27" i="31"/>
  <c r="J27" i="31"/>
  <c r="F28" i="31"/>
  <c r="W36" i="5"/>
  <c r="AF37" i="5" s="1"/>
  <c r="AE35" i="5"/>
  <c r="AG35" i="5" s="1"/>
  <c r="AC35" i="5"/>
  <c r="AB35" i="5"/>
  <c r="AA35" i="5"/>
  <c r="Z35" i="5"/>
  <c r="G29" i="31" l="1"/>
  <c r="D28" i="31"/>
  <c r="P29" i="31"/>
  <c r="AC35" i="31"/>
  <c r="AE35" i="31" s="1"/>
  <c r="AA35" i="31"/>
  <c r="Z35" i="31"/>
  <c r="X35" i="31"/>
  <c r="Y35" i="31"/>
  <c r="U36" i="31"/>
  <c r="V36" i="5"/>
  <c r="W37" i="5" s="1"/>
  <c r="AF38" i="5" s="1"/>
  <c r="AD37" i="31" l="1"/>
  <c r="T36" i="31"/>
  <c r="L28" i="31"/>
  <c r="K28" i="31"/>
  <c r="E29" i="31"/>
  <c r="H29" i="31" s="1"/>
  <c r="I30" i="31" s="1"/>
  <c r="O28" i="31"/>
  <c r="Q28" i="31" s="1"/>
  <c r="J28" i="31"/>
  <c r="M28" i="31"/>
  <c r="F29" i="31"/>
  <c r="V37" i="31"/>
  <c r="X37" i="5"/>
  <c r="V37" i="5" s="1"/>
  <c r="X38" i="5" s="1"/>
  <c r="AA36" i="5"/>
  <c r="Z36" i="5"/>
  <c r="AC36" i="5"/>
  <c r="AE36" i="5"/>
  <c r="AG36" i="5" s="1"/>
  <c r="AB36" i="5"/>
  <c r="P30" i="31" l="1"/>
  <c r="D29" i="31"/>
  <c r="G30" i="31"/>
  <c r="AC36" i="31"/>
  <c r="AE36" i="31" s="1"/>
  <c r="AA36" i="31"/>
  <c r="Z36" i="31"/>
  <c r="Y36" i="31"/>
  <c r="X36" i="31"/>
  <c r="U37" i="31"/>
  <c r="AE37" i="5"/>
  <c r="AG37" i="5" s="1"/>
  <c r="AA37" i="5"/>
  <c r="W38" i="5"/>
  <c r="AF39" i="5" s="1"/>
  <c r="Z37" i="5"/>
  <c r="AC37" i="5"/>
  <c r="AB37" i="5"/>
  <c r="AD38" i="31" l="1"/>
  <c r="T37" i="31"/>
  <c r="F30" i="31"/>
  <c r="K29" i="31"/>
  <c r="J29" i="31"/>
  <c r="E30" i="31"/>
  <c r="H30" i="31" s="1"/>
  <c r="I31" i="31" s="1"/>
  <c r="M29" i="31"/>
  <c r="O29" i="31"/>
  <c r="Q29" i="31" s="1"/>
  <c r="L29" i="31"/>
  <c r="V38" i="5"/>
  <c r="X39" i="5" s="1"/>
  <c r="AA37" i="31" l="1"/>
  <c r="Z37" i="31"/>
  <c r="Y37" i="31"/>
  <c r="X37" i="31"/>
  <c r="AC37" i="31"/>
  <c r="AE37" i="31" s="1"/>
  <c r="P31" i="31"/>
  <c r="D30" i="31"/>
  <c r="G31" i="31"/>
  <c r="V38" i="31"/>
  <c r="U38" i="31"/>
  <c r="AE38" i="5"/>
  <c r="AG38" i="5" s="1"/>
  <c r="AA38" i="5"/>
  <c r="AC38" i="5"/>
  <c r="Z38" i="5"/>
  <c r="AB38" i="5"/>
  <c r="W39" i="5"/>
  <c r="AF40" i="5" s="1"/>
  <c r="AD39" i="31" l="1"/>
  <c r="T38" i="31"/>
  <c r="J30" i="31"/>
  <c r="E31" i="31"/>
  <c r="H31" i="31" s="1"/>
  <c r="I32" i="31" s="1"/>
  <c r="L30" i="31"/>
  <c r="M30" i="31"/>
  <c r="K30" i="31"/>
  <c r="O30" i="31"/>
  <c r="Q30" i="31" s="1"/>
  <c r="F31" i="31"/>
  <c r="V39" i="31"/>
  <c r="V39" i="5"/>
  <c r="W40" i="5" s="1"/>
  <c r="AF41" i="5" s="1"/>
  <c r="G32" i="31" l="1"/>
  <c r="P32" i="31"/>
  <c r="D31" i="31"/>
  <c r="Z38" i="31"/>
  <c r="Y38" i="31"/>
  <c r="X38" i="31"/>
  <c r="AC38" i="31"/>
  <c r="AE38" i="31" s="1"/>
  <c r="AA38" i="31"/>
  <c r="U39" i="31"/>
  <c r="AC39" i="5"/>
  <c r="Z39" i="5"/>
  <c r="X40" i="5"/>
  <c r="V40" i="5" s="1"/>
  <c r="AE39" i="5"/>
  <c r="AG39" i="5" s="1"/>
  <c r="AA39" i="5"/>
  <c r="AB39" i="5"/>
  <c r="O31" i="31" l="1"/>
  <c r="Q31" i="31" s="1"/>
  <c r="K31" i="31"/>
  <c r="L31" i="31"/>
  <c r="J31" i="31"/>
  <c r="E32" i="31"/>
  <c r="H32" i="31" s="1"/>
  <c r="I33" i="31" s="1"/>
  <c r="M31" i="31"/>
  <c r="AD40" i="31"/>
  <c r="T39" i="31"/>
  <c r="F32" i="31"/>
  <c r="X41" i="5"/>
  <c r="Z40" i="5"/>
  <c r="AB40" i="5"/>
  <c r="AE40" i="5"/>
  <c r="AG40" i="5" s="1"/>
  <c r="AA40" i="5"/>
  <c r="W41" i="5"/>
  <c r="AF42" i="5" s="1"/>
  <c r="AC40" i="5"/>
  <c r="AC39" i="31" l="1"/>
  <c r="AE39" i="31" s="1"/>
  <c r="Y39" i="31"/>
  <c r="X39" i="31"/>
  <c r="AA39" i="31"/>
  <c r="Z39" i="31"/>
  <c r="U40" i="31"/>
  <c r="G33" i="31"/>
  <c r="P33" i="31"/>
  <c r="D32" i="31"/>
  <c r="V40" i="31"/>
  <c r="V41" i="5"/>
  <c r="W42" i="5" s="1"/>
  <c r="AF43" i="5" s="1"/>
  <c r="AD41" i="31" l="1"/>
  <c r="T40" i="31"/>
  <c r="V41" i="31"/>
  <c r="O32" i="31"/>
  <c r="Q32" i="31" s="1"/>
  <c r="M32" i="31"/>
  <c r="J32" i="31"/>
  <c r="L32" i="31"/>
  <c r="K32" i="31"/>
  <c r="E33" i="31"/>
  <c r="H33" i="31" s="1"/>
  <c r="I34" i="31" s="1"/>
  <c r="F33" i="31"/>
  <c r="X42" i="5"/>
  <c r="V42" i="5" s="1"/>
  <c r="AE41" i="5"/>
  <c r="AG41" i="5" s="1"/>
  <c r="AC41" i="5"/>
  <c r="AA41" i="5"/>
  <c r="Z41" i="5"/>
  <c r="AB41" i="5"/>
  <c r="P34" i="31" l="1"/>
  <c r="G34" i="31"/>
  <c r="D33" i="31"/>
  <c r="AC40" i="31"/>
  <c r="AE40" i="31" s="1"/>
  <c r="AA40" i="31"/>
  <c r="X40" i="31"/>
  <c r="Z40" i="31"/>
  <c r="Y40" i="31"/>
  <c r="U41" i="31"/>
  <c r="Z42" i="5"/>
  <c r="AA42" i="5"/>
  <c r="AC42" i="5"/>
  <c r="AB42" i="5"/>
  <c r="AE42" i="5"/>
  <c r="AG42" i="5" s="1"/>
  <c r="W43" i="5"/>
  <c r="X43" i="5"/>
  <c r="AD42" i="31" l="1"/>
  <c r="T41" i="31"/>
  <c r="E34" i="31"/>
  <c r="H34" i="31" s="1"/>
  <c r="I35" i="31" s="1"/>
  <c r="O33" i="31"/>
  <c r="Q33" i="31" s="1"/>
  <c r="M33" i="31"/>
  <c r="L33" i="31"/>
  <c r="K33" i="31"/>
  <c r="J33" i="31"/>
  <c r="F34" i="31"/>
  <c r="V42" i="31"/>
  <c r="AF44" i="5"/>
  <c r="V43" i="5"/>
  <c r="W44" i="5" s="1"/>
  <c r="AA41" i="31" l="1"/>
  <c r="Z41" i="31"/>
  <c r="X41" i="31"/>
  <c r="AC41" i="31"/>
  <c r="AE41" i="31" s="1"/>
  <c r="Y41" i="31"/>
  <c r="G35" i="31"/>
  <c r="P35" i="31"/>
  <c r="D34" i="31"/>
  <c r="U42" i="31"/>
  <c r="AF45" i="5"/>
  <c r="AC43" i="5"/>
  <c r="AE43" i="5"/>
  <c r="AG43" i="5" s="1"/>
  <c r="AB43" i="5"/>
  <c r="AA43" i="5"/>
  <c r="Z43" i="5"/>
  <c r="X44" i="5"/>
  <c r="E35" i="31" l="1"/>
  <c r="O34" i="31"/>
  <c r="Q34" i="31" s="1"/>
  <c r="M34" i="31"/>
  <c r="L34" i="31"/>
  <c r="K34" i="31"/>
  <c r="J34" i="31"/>
  <c r="AD43" i="31"/>
  <c r="T42" i="31"/>
  <c r="F35" i="31"/>
  <c r="H35" i="31"/>
  <c r="I36" i="31" s="1"/>
  <c r="V43" i="31"/>
  <c r="V44" i="5"/>
  <c r="P36" i="31" l="1"/>
  <c r="D35" i="31"/>
  <c r="G36" i="31"/>
  <c r="Z42" i="31"/>
  <c r="Y42" i="31"/>
  <c r="AC42" i="31"/>
  <c r="AE42" i="31" s="1"/>
  <c r="X42" i="31"/>
  <c r="AA42" i="31"/>
  <c r="U43" i="31"/>
  <c r="AC44" i="5"/>
  <c r="AA44" i="5"/>
  <c r="Z44" i="5"/>
  <c r="AB44" i="5"/>
  <c r="AE44" i="5"/>
  <c r="AG44" i="5" s="1"/>
  <c r="W45" i="5"/>
  <c r="X45" i="5"/>
  <c r="AD44" i="31" l="1"/>
  <c r="T43" i="31"/>
  <c r="V44" i="31"/>
  <c r="M35" i="31"/>
  <c r="L35" i="31"/>
  <c r="K35" i="31"/>
  <c r="J35" i="31"/>
  <c r="O35" i="31"/>
  <c r="Q35" i="31" s="1"/>
  <c r="E36" i="31"/>
  <c r="F36" i="31" s="1"/>
  <c r="H36" i="31"/>
  <c r="I37" i="31" s="1"/>
  <c r="AF46" i="5"/>
  <c r="V45" i="5"/>
  <c r="X46" i="5" s="1"/>
  <c r="P37" i="31" l="1"/>
  <c r="D36" i="31"/>
  <c r="G37" i="31"/>
  <c r="Y43" i="31"/>
  <c r="X43" i="31"/>
  <c r="AA43" i="31"/>
  <c r="Z43" i="31"/>
  <c r="AC43" i="31"/>
  <c r="AE43" i="31" s="1"/>
  <c r="U44" i="31"/>
  <c r="W46" i="5"/>
  <c r="AF47" i="5" s="1"/>
  <c r="AF49" i="5" s="1"/>
  <c r="AF50" i="5" s="1"/>
  <c r="Z45" i="5"/>
  <c r="AB45" i="5"/>
  <c r="AE45" i="5"/>
  <c r="AG45" i="5" s="1"/>
  <c r="AC45" i="5"/>
  <c r="AA45" i="5"/>
  <c r="AD45" i="31" l="1"/>
  <c r="T44" i="31"/>
  <c r="V45" i="31"/>
  <c r="L36" i="31"/>
  <c r="K36" i="31"/>
  <c r="J36" i="31"/>
  <c r="E37" i="31"/>
  <c r="H37" i="31" s="1"/>
  <c r="I38" i="31" s="1"/>
  <c r="O36" i="31"/>
  <c r="Q36" i="31" s="1"/>
  <c r="M36" i="31"/>
  <c r="V46" i="5"/>
  <c r="W47" i="5" s="1"/>
  <c r="W48" i="5" s="1"/>
  <c r="F37" i="31" l="1"/>
  <c r="X44" i="31"/>
  <c r="Z44" i="31"/>
  <c r="Y44" i="31"/>
  <c r="AA44" i="31"/>
  <c r="AC44" i="31"/>
  <c r="AE44" i="31" s="1"/>
  <c r="U45" i="31"/>
  <c r="AA46" i="5"/>
  <c r="AC46" i="5"/>
  <c r="Z46" i="5"/>
  <c r="AE46" i="5"/>
  <c r="AG46" i="5" s="1"/>
  <c r="AB46" i="5"/>
  <c r="X47" i="5"/>
  <c r="AD46" i="31" l="1"/>
  <c r="T45" i="31"/>
  <c r="V46" i="31"/>
  <c r="G38" i="31"/>
  <c r="P38" i="31"/>
  <c r="D37" i="31"/>
  <c r="V47" i="5"/>
  <c r="V48" i="5" s="1"/>
  <c r="X48" i="5"/>
  <c r="O37" i="31" l="1"/>
  <c r="Q37" i="31" s="1"/>
  <c r="K37" i="31"/>
  <c r="J37" i="31"/>
  <c r="E38" i="31"/>
  <c r="M37" i="31"/>
  <c r="L37" i="31"/>
  <c r="F38" i="31"/>
  <c r="H38" i="31"/>
  <c r="I39" i="31" s="1"/>
  <c r="AC45" i="31"/>
  <c r="AE45" i="31" s="1"/>
  <c r="Y45" i="31"/>
  <c r="X45" i="31"/>
  <c r="Z45" i="31"/>
  <c r="AA45" i="31"/>
  <c r="U46" i="31"/>
  <c r="Z47" i="5"/>
  <c r="Z49" i="5" s="1"/>
  <c r="Z50" i="5" s="1"/>
  <c r="AA47" i="5"/>
  <c r="AA49" i="5" s="1"/>
  <c r="AA50" i="5" s="1"/>
  <c r="AC47" i="5"/>
  <c r="AC49" i="5" s="1"/>
  <c r="AC50" i="5" s="1"/>
  <c r="D58" i="5" s="1"/>
  <c r="AB47" i="5"/>
  <c r="AB49" i="5" s="1"/>
  <c r="AB50" i="5" s="1"/>
  <c r="AE47" i="5"/>
  <c r="AG47" i="5" s="1"/>
  <c r="AG49" i="5" s="1"/>
  <c r="AG50" i="5" s="1"/>
  <c r="C58" i="5" s="1"/>
  <c r="G39" i="31" l="1"/>
  <c r="P39" i="31"/>
  <c r="D38" i="31"/>
  <c r="AD47" i="31"/>
  <c r="AD49" i="31" s="1"/>
  <c r="AD50" i="31" s="1"/>
  <c r="T46" i="31"/>
  <c r="C32" i="1"/>
  <c r="I32" i="1"/>
  <c r="B32" i="1"/>
  <c r="H32" i="1"/>
  <c r="AE49" i="5"/>
  <c r="AE50" i="5" s="1"/>
  <c r="M3" i="5"/>
  <c r="O38" i="31" l="1"/>
  <c r="Q38" i="31" s="1"/>
  <c r="M38" i="31"/>
  <c r="J38" i="31"/>
  <c r="K38" i="31"/>
  <c r="L38" i="31"/>
  <c r="E39" i="31"/>
  <c r="H39" i="31" s="1"/>
  <c r="I40" i="31" s="1"/>
  <c r="AC46" i="31"/>
  <c r="AE46" i="31" s="1"/>
  <c r="AA46" i="31"/>
  <c r="X46" i="31"/>
  <c r="Y46" i="31"/>
  <c r="Z46" i="31"/>
  <c r="V47" i="31"/>
  <c r="V48" i="31" s="1"/>
  <c r="U47" i="31"/>
  <c r="L3" i="5"/>
  <c r="N3" i="5"/>
  <c r="Q3" i="5"/>
  <c r="O3" i="5"/>
  <c r="R4" i="5"/>
  <c r="F39" i="31" l="1"/>
  <c r="T47" i="31"/>
  <c r="U48" i="31"/>
  <c r="E4" i="5"/>
  <c r="F5" i="5" s="1"/>
  <c r="G5" i="5" s="1"/>
  <c r="H6" i="5" s="1"/>
  <c r="J5" i="5"/>
  <c r="R5" i="5"/>
  <c r="S3" i="5"/>
  <c r="G40" i="31" l="1"/>
  <c r="P40" i="31"/>
  <c r="D39" i="31"/>
  <c r="AC47" i="31"/>
  <c r="AA47" i="31"/>
  <c r="AA49" i="31" s="1"/>
  <c r="AA50" i="31" s="1"/>
  <c r="Z47" i="31"/>
  <c r="Z49" i="31" s="1"/>
  <c r="Z50" i="31" s="1"/>
  <c r="Y47" i="31"/>
  <c r="Y49" i="31" s="1"/>
  <c r="Y50" i="31" s="1"/>
  <c r="X47" i="31"/>
  <c r="X49" i="31" s="1"/>
  <c r="X50" i="31" s="1"/>
  <c r="T48" i="31"/>
  <c r="I5" i="5"/>
  <c r="R6" i="5"/>
  <c r="Q4" i="5"/>
  <c r="M4" i="5"/>
  <c r="L4" i="5"/>
  <c r="O4" i="5"/>
  <c r="N4" i="5"/>
  <c r="AE47" i="31" l="1"/>
  <c r="AE49" i="31" s="1"/>
  <c r="AE50" i="31" s="1"/>
  <c r="C58" i="31" s="1"/>
  <c r="AC49" i="31"/>
  <c r="AC50" i="31" s="1"/>
  <c r="M39" i="31"/>
  <c r="L39" i="31"/>
  <c r="E40" i="31"/>
  <c r="K39" i="31"/>
  <c r="O39" i="31"/>
  <c r="Q39" i="31" s="1"/>
  <c r="J39" i="31"/>
  <c r="F40" i="31"/>
  <c r="H40" i="31"/>
  <c r="I41" i="31" s="1"/>
  <c r="E5" i="5"/>
  <c r="F6" i="5" s="1"/>
  <c r="G6" i="5" s="1"/>
  <c r="J6" i="5"/>
  <c r="S4" i="5"/>
  <c r="G41" i="31" l="1"/>
  <c r="P41" i="31"/>
  <c r="D40" i="31"/>
  <c r="I6" i="5"/>
  <c r="M5" i="5"/>
  <c r="N5" i="5"/>
  <c r="O5" i="5"/>
  <c r="L5" i="5"/>
  <c r="Q5" i="5"/>
  <c r="J7" i="5"/>
  <c r="L40" i="31" l="1"/>
  <c r="K40" i="31"/>
  <c r="E41" i="31"/>
  <c r="O40" i="31"/>
  <c r="Q40" i="31" s="1"/>
  <c r="M40" i="31"/>
  <c r="J40" i="31"/>
  <c r="F41" i="31"/>
  <c r="H41" i="31"/>
  <c r="I42" i="31" s="1"/>
  <c r="E6" i="5"/>
  <c r="F7" i="5" s="1"/>
  <c r="H7" i="5"/>
  <c r="R7" i="5"/>
  <c r="S5" i="5"/>
  <c r="G7" i="5" l="1"/>
  <c r="P42" i="31"/>
  <c r="D41" i="31"/>
  <c r="G42" i="31"/>
  <c r="I7" i="5"/>
  <c r="J8" i="5" s="1"/>
  <c r="L6" i="5"/>
  <c r="M6" i="5"/>
  <c r="O6" i="5"/>
  <c r="Q6" i="5"/>
  <c r="N6" i="5"/>
  <c r="K41" i="31" l="1"/>
  <c r="J41" i="31"/>
  <c r="E42" i="31"/>
  <c r="H42" i="31" s="1"/>
  <c r="I43" i="31" s="1"/>
  <c r="M41" i="31"/>
  <c r="O41" i="31"/>
  <c r="Q41" i="31" s="1"/>
  <c r="L41" i="31"/>
  <c r="F42" i="31"/>
  <c r="E7" i="5"/>
  <c r="F8" i="5" s="1"/>
  <c r="H8" i="5"/>
  <c r="G8" i="5" s="1"/>
  <c r="R8" i="5"/>
  <c r="S6" i="5"/>
  <c r="P43" i="31" l="1"/>
  <c r="D42" i="31"/>
  <c r="G43" i="31"/>
  <c r="I8" i="5"/>
  <c r="J9" i="5" s="1"/>
  <c r="H9" i="5"/>
  <c r="R9" i="5"/>
  <c r="N7" i="5"/>
  <c r="O7" i="5"/>
  <c r="L7" i="5"/>
  <c r="M7" i="5"/>
  <c r="Q7" i="5"/>
  <c r="E8" i="5" l="1"/>
  <c r="F9" i="5" s="1"/>
  <c r="J42" i="31"/>
  <c r="E43" i="31"/>
  <c r="F43" i="31" s="1"/>
  <c r="L42" i="31"/>
  <c r="O42" i="31"/>
  <c r="Q42" i="31" s="1"/>
  <c r="M42" i="31"/>
  <c r="K42" i="31"/>
  <c r="H43" i="31"/>
  <c r="I44" i="31" s="1"/>
  <c r="G9" i="5"/>
  <c r="R10" i="5" s="1"/>
  <c r="I9" i="5"/>
  <c r="J10" i="5" s="1"/>
  <c r="S7" i="5"/>
  <c r="Q8" i="5"/>
  <c r="S8" i="5" s="1"/>
  <c r="O8" i="5"/>
  <c r="M8" i="5"/>
  <c r="N8" i="5"/>
  <c r="L8" i="5"/>
  <c r="G44" i="31" l="1"/>
  <c r="P44" i="31"/>
  <c r="D43" i="31"/>
  <c r="H10" i="5"/>
  <c r="E9" i="5"/>
  <c r="F10" i="5" s="1"/>
  <c r="G10" i="5" s="1"/>
  <c r="O43" i="31" l="1"/>
  <c r="Q43" i="31" s="1"/>
  <c r="K43" i="31"/>
  <c r="E44" i="31"/>
  <c r="H44" i="31" s="1"/>
  <c r="I45" i="31" s="1"/>
  <c r="M43" i="31"/>
  <c r="L43" i="31"/>
  <c r="J43" i="31"/>
  <c r="F44" i="31"/>
  <c r="O9" i="5"/>
  <c r="L9" i="5"/>
  <c r="N9" i="5"/>
  <c r="M9" i="5"/>
  <c r="Q9" i="5"/>
  <c r="S9" i="5" s="1"/>
  <c r="I10" i="5"/>
  <c r="J11" i="5" s="1"/>
  <c r="H11" i="5"/>
  <c r="R11" i="5"/>
  <c r="G45" i="31" l="1"/>
  <c r="P45" i="31"/>
  <c r="D44" i="31"/>
  <c r="E10" i="5"/>
  <c r="F11" i="5" s="1"/>
  <c r="G11" i="5" s="1"/>
  <c r="O44" i="31" l="1"/>
  <c r="Q44" i="31" s="1"/>
  <c r="M44" i="31"/>
  <c r="J44" i="31"/>
  <c r="E45" i="31"/>
  <c r="L44" i="31"/>
  <c r="K44" i="31"/>
  <c r="F45" i="31"/>
  <c r="H45" i="31"/>
  <c r="I46" i="31" s="1"/>
  <c r="O10" i="5"/>
  <c r="N10" i="5"/>
  <c r="L10" i="5"/>
  <c r="M10" i="5"/>
  <c r="Q10" i="5"/>
  <c r="S10" i="5" s="1"/>
  <c r="I11" i="5"/>
  <c r="J12" i="5" s="1"/>
  <c r="H12" i="5"/>
  <c r="R12" i="5"/>
  <c r="G46" i="31" l="1"/>
  <c r="D45" i="31"/>
  <c r="P46" i="31"/>
  <c r="E11" i="5"/>
  <c r="F12" i="5" s="1"/>
  <c r="I12" i="5" s="1"/>
  <c r="J13" i="5" s="1"/>
  <c r="G12" i="5"/>
  <c r="H13" i="5" s="1"/>
  <c r="Q11" i="5"/>
  <c r="S11" i="5" s="1"/>
  <c r="L11" i="5"/>
  <c r="N11" i="5"/>
  <c r="O11" i="5"/>
  <c r="M11" i="5"/>
  <c r="E46" i="31" l="1"/>
  <c r="H46" i="31" s="1"/>
  <c r="I47" i="31" s="1"/>
  <c r="O45" i="31"/>
  <c r="Q45" i="31" s="1"/>
  <c r="M45" i="31"/>
  <c r="L45" i="31"/>
  <c r="K45" i="31"/>
  <c r="J45" i="31"/>
  <c r="F46" i="31"/>
  <c r="R13" i="5"/>
  <c r="E12" i="5"/>
  <c r="F13" i="5" s="1"/>
  <c r="G13" i="5" s="1"/>
  <c r="H14" i="5" s="1"/>
  <c r="G47" i="31" l="1"/>
  <c r="D46" i="31"/>
  <c r="P47" i="31"/>
  <c r="P49" i="31" s="1"/>
  <c r="P50" i="31" s="1"/>
  <c r="I13" i="5"/>
  <c r="J14" i="5" s="1"/>
  <c r="N12" i="5"/>
  <c r="M12" i="5"/>
  <c r="L12" i="5"/>
  <c r="O12" i="5"/>
  <c r="Q12" i="5"/>
  <c r="S12" i="5" s="1"/>
  <c r="E13" i="5"/>
  <c r="F14" i="5" s="1"/>
  <c r="G14" i="5" s="1"/>
  <c r="H15" i="5" s="1"/>
  <c r="R14" i="5"/>
  <c r="E47" i="31" l="1"/>
  <c r="H47" i="31" s="1"/>
  <c r="H48" i="31" s="1"/>
  <c r="O46" i="31"/>
  <c r="Q46" i="31" s="1"/>
  <c r="M46" i="31"/>
  <c r="L46" i="31"/>
  <c r="K46" i="31"/>
  <c r="J46" i="31"/>
  <c r="F47" i="31"/>
  <c r="N13" i="5"/>
  <c r="Q13" i="5"/>
  <c r="S13" i="5" s="1"/>
  <c r="M13" i="5"/>
  <c r="I14" i="5"/>
  <c r="J15" i="5" s="1"/>
  <c r="O13" i="5"/>
  <c r="L13" i="5"/>
  <c r="R15" i="5"/>
  <c r="D47" i="31" l="1"/>
  <c r="F48" i="31"/>
  <c r="E14" i="5"/>
  <c r="F15" i="5" s="1"/>
  <c r="G15" i="5" s="1"/>
  <c r="H16" i="5" s="1"/>
  <c r="I15" i="5"/>
  <c r="N14" i="5"/>
  <c r="L14" i="5"/>
  <c r="O14" i="5"/>
  <c r="M14" i="5"/>
  <c r="Q14" i="5"/>
  <c r="S14" i="5" s="1"/>
  <c r="M47" i="31" l="1"/>
  <c r="M49" i="31" s="1"/>
  <c r="M50" i="31" s="1"/>
  <c r="L47" i="31"/>
  <c r="L49" i="31" s="1"/>
  <c r="L50" i="31" s="1"/>
  <c r="K47" i="31"/>
  <c r="K49" i="31" s="1"/>
  <c r="K50" i="31" s="1"/>
  <c r="J47" i="31"/>
  <c r="J49" i="31" s="1"/>
  <c r="J50" i="31" s="1"/>
  <c r="O47" i="31"/>
  <c r="D48" i="31"/>
  <c r="E15" i="5"/>
  <c r="F16" i="5" s="1"/>
  <c r="J16" i="5"/>
  <c r="I16" i="5" s="1"/>
  <c r="J17" i="5" s="1"/>
  <c r="G16" i="5"/>
  <c r="H17" i="5" s="1"/>
  <c r="R16" i="5"/>
  <c r="M15" i="5"/>
  <c r="L15" i="5"/>
  <c r="Q47" i="31" l="1"/>
  <c r="Q49" i="31" s="1"/>
  <c r="Q50" i="31" s="1"/>
  <c r="C57" i="31" s="1"/>
  <c r="C59" i="31" s="1"/>
  <c r="C60" i="31" s="1"/>
  <c r="O49" i="31"/>
  <c r="O50" i="31" s="1"/>
  <c r="O15" i="5"/>
  <c r="Q15" i="5"/>
  <c r="S15" i="5" s="1"/>
  <c r="N15" i="5"/>
  <c r="E16" i="5"/>
  <c r="F17" i="5" s="1"/>
  <c r="G17" i="5" s="1"/>
  <c r="R17" i="5"/>
  <c r="I17" i="5" l="1"/>
  <c r="Q16" i="5"/>
  <c r="S16" i="5" s="1"/>
  <c r="L16" i="5"/>
  <c r="N16" i="5"/>
  <c r="M16" i="5"/>
  <c r="O16" i="5"/>
  <c r="J18" i="5"/>
  <c r="E17" i="5" l="1"/>
  <c r="F18" i="5" s="1"/>
  <c r="H18" i="5"/>
  <c r="I18" i="5" s="1"/>
  <c r="R18" i="5"/>
  <c r="G18" i="5" l="1"/>
  <c r="H19" i="5" s="1"/>
  <c r="O17" i="5"/>
  <c r="L17" i="5"/>
  <c r="N17" i="5"/>
  <c r="M17" i="5"/>
  <c r="Q17" i="5"/>
  <c r="S17" i="5" s="1"/>
  <c r="E18" i="5" l="1"/>
  <c r="F19" i="5" s="1"/>
  <c r="J19" i="5"/>
  <c r="I19" i="5" s="1"/>
  <c r="G19" i="5"/>
  <c r="R19" i="5"/>
  <c r="O18" i="5"/>
  <c r="L18" i="5"/>
  <c r="Q18" i="5"/>
  <c r="S18" i="5" s="1"/>
  <c r="N18" i="5"/>
  <c r="M18" i="5"/>
  <c r="J20" i="5"/>
  <c r="E19" i="5" l="1"/>
  <c r="F20" i="5" s="1"/>
  <c r="H20" i="5"/>
  <c r="I20" i="5" s="1"/>
  <c r="R20" i="5"/>
  <c r="G20" i="5" l="1"/>
  <c r="H21" i="5" s="1"/>
  <c r="L19" i="5"/>
  <c r="M19" i="5"/>
  <c r="N19" i="5"/>
  <c r="Q19" i="5"/>
  <c r="S19" i="5" s="1"/>
  <c r="O19" i="5"/>
  <c r="E20" i="5" l="1"/>
  <c r="F21" i="5" s="1"/>
  <c r="J21" i="5"/>
  <c r="G21" i="5"/>
  <c r="R21" i="5"/>
  <c r="L20" i="5"/>
  <c r="N20" i="5"/>
  <c r="Q20" i="5"/>
  <c r="S20" i="5" s="1"/>
  <c r="O20" i="5"/>
  <c r="M20" i="5"/>
  <c r="I21" i="5" l="1"/>
  <c r="J22" i="5" s="1"/>
  <c r="H22" i="5"/>
  <c r="R22" i="5"/>
  <c r="E21" i="5" l="1"/>
  <c r="F22" i="5" s="1"/>
  <c r="I22" i="5" s="1"/>
  <c r="J23" i="5" s="1"/>
  <c r="G22" i="5"/>
  <c r="H23" i="5" s="1"/>
  <c r="N21" i="5"/>
  <c r="O21" i="5"/>
  <c r="M21" i="5"/>
  <c r="Q21" i="5"/>
  <c r="S21" i="5" s="1"/>
  <c r="R23" i="5" l="1"/>
  <c r="L21" i="5"/>
  <c r="E22" i="5"/>
  <c r="F23" i="5" s="1"/>
  <c r="G23" i="5" s="1"/>
  <c r="H24" i="5" s="1"/>
  <c r="I23" i="5" l="1"/>
  <c r="J24" i="5" s="1"/>
  <c r="M22" i="5"/>
  <c r="O22" i="5"/>
  <c r="E23" i="5"/>
  <c r="F24" i="5" s="1"/>
  <c r="G24" i="5" s="1"/>
  <c r="L22" i="5"/>
  <c r="N22" i="5"/>
  <c r="Q22" i="5"/>
  <c r="S22" i="5" s="1"/>
  <c r="R24" i="5"/>
  <c r="L23" i="5"/>
  <c r="M23" i="5"/>
  <c r="N23" i="5" l="1"/>
  <c r="Q23" i="5"/>
  <c r="S23" i="5" s="1"/>
  <c r="O23" i="5"/>
  <c r="I24" i="5"/>
  <c r="J25" i="5" s="1"/>
  <c r="H25" i="5"/>
  <c r="R25" i="5"/>
  <c r="E24" i="5" l="1"/>
  <c r="F25" i="5" s="1"/>
  <c r="I25" i="5" s="1"/>
  <c r="J26" i="5" s="1"/>
  <c r="O24" i="5"/>
  <c r="L24" i="5" l="1"/>
  <c r="M24" i="5"/>
  <c r="N24" i="5"/>
  <c r="Q24" i="5"/>
  <c r="S24" i="5" s="1"/>
  <c r="G25" i="5"/>
  <c r="H26" i="5" s="1"/>
  <c r="E25" i="5" l="1"/>
  <c r="F26" i="5" s="1"/>
  <c r="G26" i="5" s="1"/>
  <c r="R26" i="5"/>
  <c r="O25" i="5"/>
  <c r="Q25" i="5"/>
  <c r="S25" i="5" s="1"/>
  <c r="M25" i="5"/>
  <c r="N25" i="5"/>
  <c r="L25" i="5"/>
  <c r="I26" i="5" l="1"/>
  <c r="J27" i="5" s="1"/>
  <c r="E26" i="5"/>
  <c r="F27" i="5" s="1"/>
  <c r="H27" i="5"/>
  <c r="I27" i="5" s="1"/>
  <c r="J28" i="5" s="1"/>
  <c r="R27" i="5"/>
  <c r="G27" i="5" l="1"/>
  <c r="H28" i="5" s="1"/>
  <c r="M26" i="5"/>
  <c r="Q26" i="5"/>
  <c r="S26" i="5" s="1"/>
  <c r="L26" i="5"/>
  <c r="O26" i="5"/>
  <c r="N26" i="5"/>
  <c r="R28" i="5" l="1"/>
  <c r="E27" i="5"/>
  <c r="F28" i="5" s="1"/>
  <c r="G28" i="5" s="1"/>
  <c r="H29" i="5" s="1"/>
  <c r="I28" i="5" l="1"/>
  <c r="J29" i="5" s="1"/>
  <c r="O27" i="5"/>
  <c r="L27" i="5"/>
  <c r="N27" i="5"/>
  <c r="M27" i="5"/>
  <c r="Q27" i="5"/>
  <c r="S27" i="5" s="1"/>
  <c r="E28" i="5"/>
  <c r="F29" i="5" s="1"/>
  <c r="G29" i="5" s="1"/>
  <c r="R29" i="5"/>
  <c r="I29" i="5" l="1"/>
  <c r="M28" i="5"/>
  <c r="Q28" i="5"/>
  <c r="S28" i="5" s="1"/>
  <c r="N28" i="5"/>
  <c r="O28" i="5"/>
  <c r="L28" i="5"/>
  <c r="J30" i="5"/>
  <c r="E29" i="5" l="1"/>
  <c r="F30" i="5" s="1"/>
  <c r="H30" i="5"/>
  <c r="G30" i="5" s="1"/>
  <c r="R30" i="5"/>
  <c r="I30" i="5" l="1"/>
  <c r="L29" i="5"/>
  <c r="M29" i="5"/>
  <c r="N29" i="5"/>
  <c r="Q29" i="5"/>
  <c r="S29" i="5" s="1"/>
  <c r="O29" i="5"/>
  <c r="J31" i="5"/>
  <c r="E30" i="5" l="1"/>
  <c r="F31" i="5" s="1"/>
  <c r="H31" i="5"/>
  <c r="I31" i="5" s="1"/>
  <c r="R31" i="5"/>
  <c r="G31" i="5" l="1"/>
  <c r="H32" i="5" s="1"/>
  <c r="N30" i="5"/>
  <c r="M30" i="5"/>
  <c r="Q30" i="5"/>
  <c r="S30" i="5" s="1"/>
  <c r="L30" i="5"/>
  <c r="O30" i="5"/>
  <c r="E31" i="5" l="1"/>
  <c r="F32" i="5" s="1"/>
  <c r="G32" i="5" s="1"/>
  <c r="J32" i="5"/>
  <c r="I32" i="5" s="1"/>
  <c r="R32" i="5"/>
  <c r="O31" i="5"/>
  <c r="Q31" i="5"/>
  <c r="S31" i="5" s="1"/>
  <c r="L31" i="5"/>
  <c r="N31" i="5"/>
  <c r="M31" i="5"/>
  <c r="J33" i="5"/>
  <c r="E32" i="5" l="1"/>
  <c r="F33" i="5" s="1"/>
  <c r="H33" i="5"/>
  <c r="G33" i="5" s="1"/>
  <c r="R33" i="5"/>
  <c r="I33" i="5" l="1"/>
  <c r="Q32" i="5"/>
  <c r="S32" i="5" s="1"/>
  <c r="N32" i="5"/>
  <c r="O32" i="5"/>
  <c r="L32" i="5"/>
  <c r="M32" i="5"/>
  <c r="J34" i="5"/>
  <c r="E33" i="5" l="1"/>
  <c r="F34" i="5" s="1"/>
  <c r="H34" i="5"/>
  <c r="G34" i="5" s="1"/>
  <c r="R34" i="5"/>
  <c r="I34" i="5" l="1"/>
  <c r="Q33" i="5"/>
  <c r="S33" i="5" s="1"/>
  <c r="L33" i="5"/>
  <c r="O33" i="5"/>
  <c r="M33" i="5"/>
  <c r="N33" i="5"/>
  <c r="J35" i="5"/>
  <c r="E34" i="5" l="1"/>
  <c r="F35" i="5" s="1"/>
  <c r="H35" i="5"/>
  <c r="G35" i="5" s="1"/>
  <c r="R35" i="5"/>
  <c r="I35" i="5" l="1"/>
  <c r="J36" i="5" s="1"/>
  <c r="N34" i="5"/>
  <c r="O34" i="5"/>
  <c r="Q34" i="5"/>
  <c r="S34" i="5" s="1"/>
  <c r="L34" i="5"/>
  <c r="M34" i="5"/>
  <c r="E35" i="5" l="1"/>
  <c r="F36" i="5" s="1"/>
  <c r="H36" i="5"/>
  <c r="I36" i="5" s="1"/>
  <c r="R36" i="5"/>
  <c r="J37" i="5" l="1"/>
  <c r="G36" i="5"/>
  <c r="L35" i="5"/>
  <c r="O35" i="5"/>
  <c r="M35" i="5"/>
  <c r="N35" i="5"/>
  <c r="Q35" i="5"/>
  <c r="S35" i="5" s="1"/>
  <c r="E36" i="5" l="1"/>
  <c r="F37" i="5" s="1"/>
  <c r="H37" i="5"/>
  <c r="I37" i="5" s="1"/>
  <c r="J38" i="5" s="1"/>
  <c r="R37" i="5"/>
  <c r="G37" i="5" l="1"/>
  <c r="H38" i="5" s="1"/>
  <c r="N36" i="5"/>
  <c r="Q36" i="5"/>
  <c r="S36" i="5" s="1"/>
  <c r="L36" i="5"/>
  <c r="O36" i="5"/>
  <c r="M36" i="5"/>
  <c r="R38" i="5" l="1"/>
  <c r="E37" i="5"/>
  <c r="F38" i="5" s="1"/>
  <c r="G38" i="5" s="1"/>
  <c r="H39" i="5" s="1"/>
  <c r="I38" i="5" l="1"/>
  <c r="J39" i="5" s="1"/>
  <c r="M37" i="5"/>
  <c r="N37" i="5"/>
  <c r="L37" i="5"/>
  <c r="O37" i="5"/>
  <c r="E38" i="5"/>
  <c r="F39" i="5" s="1"/>
  <c r="G39" i="5" s="1"/>
  <c r="Q37" i="5"/>
  <c r="S37" i="5" s="1"/>
  <c r="R39" i="5"/>
  <c r="Q38" i="5"/>
  <c r="S38" i="5" s="1"/>
  <c r="N38" i="5"/>
  <c r="L38" i="5" l="1"/>
  <c r="I39" i="5"/>
  <c r="O38" i="5"/>
  <c r="M38" i="5"/>
  <c r="J40" i="5"/>
  <c r="H40" i="5"/>
  <c r="R40" i="5"/>
  <c r="E39" i="5" l="1"/>
  <c r="F40" i="5" s="1"/>
  <c r="I40" i="5" s="1"/>
  <c r="G40" i="5"/>
  <c r="H41" i="5" s="1"/>
  <c r="M39" i="5"/>
  <c r="Q39" i="5"/>
  <c r="S39" i="5" s="1"/>
  <c r="O39" i="5"/>
  <c r="L39" i="5"/>
  <c r="N39" i="5"/>
  <c r="E40" i="5" l="1"/>
  <c r="F41" i="5" s="1"/>
  <c r="J41" i="5"/>
  <c r="I41" i="5" s="1"/>
  <c r="G41" i="5"/>
  <c r="R41" i="5"/>
  <c r="N40" i="5"/>
  <c r="L40" i="5"/>
  <c r="Q40" i="5"/>
  <c r="S40" i="5" s="1"/>
  <c r="O40" i="5"/>
  <c r="M40" i="5"/>
  <c r="H42" i="5"/>
  <c r="J42" i="5"/>
  <c r="E41" i="5" l="1"/>
  <c r="F42" i="5" s="1"/>
  <c r="G42" i="5" s="1"/>
  <c r="R42" i="5"/>
  <c r="I42" i="5" l="1"/>
  <c r="H43" i="5"/>
  <c r="Q41" i="5"/>
  <c r="S41" i="5" s="1"/>
  <c r="M41" i="5"/>
  <c r="L41" i="5"/>
  <c r="N41" i="5"/>
  <c r="O41" i="5"/>
  <c r="E42" i="5" l="1"/>
  <c r="F43" i="5" s="1"/>
  <c r="J43" i="5"/>
  <c r="I43" i="5" s="1"/>
  <c r="G43" i="5"/>
  <c r="R43" i="5"/>
  <c r="L42" i="5"/>
  <c r="O42" i="5"/>
  <c r="N42" i="5"/>
  <c r="M42" i="5"/>
  <c r="Q42" i="5"/>
  <c r="S42" i="5" s="1"/>
  <c r="H44" i="5"/>
  <c r="J44" i="5"/>
  <c r="E43" i="5" l="1"/>
  <c r="F44" i="5" s="1"/>
  <c r="G44" i="5" s="1"/>
  <c r="R44" i="5"/>
  <c r="I44" i="5" l="1"/>
  <c r="J45" i="5" s="1"/>
  <c r="H45" i="5"/>
  <c r="E44" i="5"/>
  <c r="F45" i="5" s="1"/>
  <c r="R45" i="5"/>
  <c r="O43" i="5"/>
  <c r="L43" i="5"/>
  <c r="M43" i="5"/>
  <c r="Q43" i="5"/>
  <c r="S43" i="5" s="1"/>
  <c r="N43" i="5"/>
  <c r="I45" i="5" l="1"/>
  <c r="J46" i="5" s="1"/>
  <c r="G45" i="5"/>
  <c r="N44" i="5"/>
  <c r="Q44" i="5"/>
  <c r="S44" i="5" s="1"/>
  <c r="M44" i="5"/>
  <c r="O44" i="5"/>
  <c r="L44" i="5"/>
  <c r="E45" i="5" l="1"/>
  <c r="F46" i="5" s="1"/>
  <c r="H46" i="5"/>
  <c r="G46" i="5" s="1"/>
  <c r="R46" i="5"/>
  <c r="I46" i="5" l="1"/>
  <c r="J47" i="5" s="1"/>
  <c r="N45" i="5"/>
  <c r="L45" i="5"/>
  <c r="O45" i="5"/>
  <c r="Q45" i="5"/>
  <c r="S45" i="5" s="1"/>
  <c r="M45" i="5"/>
  <c r="E46" i="5" l="1"/>
  <c r="F47" i="5" s="1"/>
  <c r="H47" i="5"/>
  <c r="G47" i="5" s="1"/>
  <c r="R47" i="5"/>
  <c r="R49" i="5" s="1"/>
  <c r="R50" i="5" s="1"/>
  <c r="I47" i="5" l="1"/>
  <c r="I48" i="5" s="1"/>
  <c r="G48" i="5"/>
  <c r="O46" i="5"/>
  <c r="M46" i="5"/>
  <c r="Q46" i="5"/>
  <c r="S46" i="5" s="1"/>
  <c r="L46" i="5"/>
  <c r="N46" i="5"/>
  <c r="E47" i="5" l="1"/>
  <c r="O47" i="5" s="1"/>
  <c r="O49" i="5" s="1"/>
  <c r="O50" i="5" s="1"/>
  <c r="D57" i="5" s="1"/>
  <c r="Q47" i="5"/>
  <c r="E48" i="5"/>
  <c r="N47" i="5" l="1"/>
  <c r="N49" i="5" s="1"/>
  <c r="N50" i="5" s="1"/>
  <c r="L47" i="5"/>
  <c r="L49" i="5" s="1"/>
  <c r="L50" i="5" s="1"/>
  <c r="M47" i="5"/>
  <c r="M49" i="5" s="1"/>
  <c r="M50" i="5" s="1"/>
  <c r="S47" i="5"/>
  <c r="S49" i="5" s="1"/>
  <c r="S50" i="5" s="1"/>
  <c r="C57" i="5" s="1"/>
  <c r="Q49" i="5"/>
  <c r="Q50" i="5" s="1"/>
  <c r="B31" i="1"/>
  <c r="H31" i="1"/>
  <c r="D59" i="5"/>
  <c r="B33" i="1" l="1"/>
  <c r="J32" i="1"/>
  <c r="C31" i="1"/>
  <c r="I31" i="1"/>
  <c r="C59" i="5"/>
  <c r="K32" i="1" l="1"/>
  <c r="C33" i="1"/>
  <c r="C60" i="5"/>
  <c r="L32" i="1" l="1"/>
  <c r="D3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Andrew Briggs</author>
  </authors>
  <commentList>
    <comment ref="I4" authorId="0" shapeId="0" xr:uid="{00000000-0006-0000-0100-000001000000}">
      <text>
        <r>
          <rPr>
            <b/>
            <sz val="10"/>
            <color indexed="81"/>
            <rFont val="Tahoma"/>
            <family val="2"/>
          </rPr>
          <t>These are the original values that are restored at the end of the macro</t>
        </r>
      </text>
    </comment>
    <comment ref="J4" authorId="0" shapeId="0" xr:uid="{00000000-0006-0000-0100-000002000000}">
      <text>
        <r>
          <rPr>
            <b/>
            <sz val="10"/>
            <color indexed="81"/>
            <rFont val="Tahoma"/>
            <family val="2"/>
          </rPr>
          <t>The lower limit of the 95% confidence interval for each parameter</t>
        </r>
      </text>
    </comment>
    <comment ref="K4" authorId="0" shapeId="0" xr:uid="{00000000-0006-0000-0100-000003000000}">
      <text>
        <r>
          <rPr>
            <b/>
            <sz val="10"/>
            <color indexed="81"/>
            <rFont val="Tahoma"/>
            <family val="2"/>
          </rPr>
          <t>The upper limit of the 95% confidence interval for each parameter</t>
        </r>
      </text>
    </comment>
    <comment ref="L4" authorId="0" shapeId="0" xr:uid="{00000000-0006-0000-0100-000004000000}">
      <text>
        <r>
          <rPr>
            <b/>
            <sz val="10"/>
            <color indexed="81"/>
            <rFont val="Tahoma"/>
            <family val="2"/>
          </rPr>
          <t>Random draws from either the Normal or Beta distributed parameters</t>
        </r>
      </text>
    </comment>
    <comment ref="M4" authorId="0" shapeId="0" xr:uid="{00000000-0006-0000-0100-000005000000}">
      <text>
        <r>
          <rPr>
            <b/>
            <sz val="10"/>
            <color indexed="81"/>
            <rFont val="Tahoma"/>
            <family val="2"/>
          </rPr>
          <t>Estimated standard deviation form the 95% confidence interval</t>
        </r>
      </text>
    </comment>
    <comment ref="N4" authorId="0" shapeId="0" xr:uid="{00000000-0006-0000-0100-000006000000}">
      <text>
        <r>
          <rPr>
            <b/>
            <sz val="10"/>
            <color indexed="81"/>
            <rFont val="Tahoma"/>
            <family val="2"/>
          </rPr>
          <t>Fitted parameter for the Beta distribution obtained by 'method of moments'</t>
        </r>
      </text>
    </comment>
    <comment ref="O4" authorId="0" shapeId="0" xr:uid="{00000000-0006-0000-0100-000007000000}">
      <text>
        <r>
          <rPr>
            <b/>
            <sz val="10"/>
            <color indexed="81"/>
            <rFont val="Tahoma"/>
            <family val="2"/>
          </rPr>
          <t>Fitted parameter for the Beta distribution obtained by 'method of moments'</t>
        </r>
      </text>
    </comment>
  </commentList>
</comments>
</file>

<file path=xl/sharedStrings.xml><?xml version="1.0" encoding="utf-8"?>
<sst xmlns="http://schemas.openxmlformats.org/spreadsheetml/2006/main" count="230" uniqueCount="143">
  <si>
    <t>Value</t>
  </si>
  <si>
    <t>Variable description</t>
  </si>
  <si>
    <t>Name</t>
  </si>
  <si>
    <t>Summary of variables in the model</t>
  </si>
  <si>
    <t>cAsymp</t>
  </si>
  <si>
    <t>Cost of one cycle in the asymptomatic disease state</t>
  </si>
  <si>
    <t>cDeath</t>
  </si>
  <si>
    <t>Cost associated with transition to the dead state</t>
  </si>
  <si>
    <t>cDR</t>
  </si>
  <si>
    <t>Discount rate for costs</t>
  </si>
  <si>
    <t>cDrug</t>
  </si>
  <si>
    <t>Cost of drug for one cycle</t>
  </si>
  <si>
    <t>cmDeath</t>
  </si>
  <si>
    <t>Probability of dying from the disease in a single cycle</t>
  </si>
  <si>
    <t>cProg</t>
  </si>
  <si>
    <t>Cost of one cycle in the progressive disease state</t>
  </si>
  <si>
    <t>cycle</t>
  </si>
  <si>
    <t>Length in years of one cycle</t>
  </si>
  <si>
    <t>eff</t>
  </si>
  <si>
    <t>Effectiveness of drug in terms of reducing disease progression</t>
  </si>
  <si>
    <t>ini_age</t>
  </si>
  <si>
    <t>oDR</t>
  </si>
  <si>
    <t>Discount rate for outcomes</t>
  </si>
  <si>
    <t>prog</t>
  </si>
  <si>
    <t>uAsymp</t>
  </si>
  <si>
    <t>Quality of life weight for one cycle in the asymptomatic disease state</t>
  </si>
  <si>
    <t>uProg</t>
  </si>
  <si>
    <t>Quality of life weight for one cycle in the progressive disease state</t>
  </si>
  <si>
    <t>The initial age at which patients are deeemed to start the model</t>
  </si>
  <si>
    <t>Strategy</t>
  </si>
  <si>
    <t>Cost</t>
  </si>
  <si>
    <t>Eff</t>
  </si>
  <si>
    <t>mean</t>
  </si>
  <si>
    <t>Cycle</t>
  </si>
  <si>
    <t>Prog</t>
  </si>
  <si>
    <t>Death</t>
  </si>
  <si>
    <t>Asymp</t>
  </si>
  <si>
    <t>nD35</t>
  </si>
  <si>
    <t>nD45</t>
  </si>
  <si>
    <t>nD55</t>
  </si>
  <si>
    <t>nD65</t>
  </si>
  <si>
    <t>nD75</t>
  </si>
  <si>
    <t>nD85</t>
  </si>
  <si>
    <t>LE</t>
  </si>
  <si>
    <t>QALYs</t>
  </si>
  <si>
    <t>LYs</t>
  </si>
  <si>
    <t>QALE</t>
  </si>
  <si>
    <t>StateCost</t>
  </si>
  <si>
    <t>TransCost</t>
  </si>
  <si>
    <t>TotalCost</t>
  </si>
  <si>
    <t>Total</t>
  </si>
  <si>
    <t>per patient</t>
  </si>
  <si>
    <t>No drug</t>
  </si>
  <si>
    <t xml:space="preserve">Drug </t>
  </si>
  <si>
    <t>ICER</t>
  </si>
  <si>
    <t>diffence</t>
  </si>
  <si>
    <t>Stochastic</t>
  </si>
  <si>
    <t>Coefficent of increase for probability of entering the progressive disease state</t>
  </si>
  <si>
    <t>low</t>
  </si>
  <si>
    <t>high</t>
  </si>
  <si>
    <t>Analysis</t>
  </si>
  <si>
    <t>difference</t>
  </si>
  <si>
    <t>cAsympLow</t>
  </si>
  <si>
    <t>Created by Andrew Briggs on 05/03/98
Modified by Andrew Briggs on 05/03/98</t>
  </si>
  <si>
    <t>cAsympHigh</t>
  </si>
  <si>
    <t>Created by Andrew Briggs on 05/03/98</t>
  </si>
  <si>
    <t>cDeathLow</t>
  </si>
  <si>
    <t>cDeathHigh</t>
  </si>
  <si>
    <t>cDrugLow</t>
  </si>
  <si>
    <t>cDrugHigh</t>
  </si>
  <si>
    <t>cmDeathLow</t>
  </si>
  <si>
    <t>cmDeathHigh</t>
  </si>
  <si>
    <t>cProgLow</t>
  </si>
  <si>
    <t>cProgHigh</t>
  </si>
  <si>
    <t>effLow</t>
  </si>
  <si>
    <t>effHigh</t>
  </si>
  <si>
    <t>progLow</t>
  </si>
  <si>
    <t>progHigh</t>
  </si>
  <si>
    <t>uAsympLow</t>
  </si>
  <si>
    <t>uAsympHigh</t>
  </si>
  <si>
    <t>uProgLow</t>
  </si>
  <si>
    <t>uProgHigh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</si>
  <si>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</si>
  <si>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</si>
  <si>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</si>
  <si>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</si>
  <si>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</si>
  <si>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</si>
  <si>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</si>
  <si>
    <t>costdiff</t>
  </si>
  <si>
    <t>effectdiff</t>
  </si>
  <si>
    <t>worst-case</t>
  </si>
  <si>
    <t>best-case</t>
  </si>
  <si>
    <t>stdev</t>
  </si>
  <si>
    <t>median</t>
  </si>
  <si>
    <t>min</t>
  </si>
  <si>
    <t>max</t>
  </si>
  <si>
    <t>effect</t>
  </si>
  <si>
    <t>tpProg</t>
  </si>
  <si>
    <t>Natural death risk for over 35's (from standard life-tables)</t>
  </si>
  <si>
    <t>Natural death risk for over 45's (from standard life-tables)</t>
  </si>
  <si>
    <t>Natural death risk for over 55's (from standard life-tables)</t>
  </si>
  <si>
    <t>Natural death risk for over 65's (from standard life-tables)</t>
  </si>
  <si>
    <t>Natural death risk for over 75's (from standard life-tables)</t>
  </si>
  <si>
    <t>Natural death risk for over 85's (from standard life-tables)</t>
  </si>
  <si>
    <t>tpDcm</t>
  </si>
  <si>
    <t>for Cost-Effectiveness Modelling of</t>
  </si>
  <si>
    <t>Health Care Interventions</t>
  </si>
  <si>
    <t>Andrew Briggs</t>
  </si>
  <si>
    <t>Health Economics Research Centre</t>
  </si>
  <si>
    <t>University of Oxford</t>
  </si>
  <si>
    <r>
      <t>PharmacoEconomics</t>
    </r>
    <r>
      <rPr>
        <sz val="10"/>
        <rFont val="Arial"/>
        <family val="2"/>
      </rPr>
      <t xml:space="preserve"> 1998; </t>
    </r>
    <r>
      <rPr>
        <b/>
        <sz val="10"/>
        <rFont val="Arial"/>
        <family val="2"/>
      </rPr>
      <t>13</t>
    </r>
    <r>
      <rPr>
        <sz val="10"/>
        <rFont val="Arial"/>
        <family val="2"/>
      </rPr>
      <t>(4): 397-409.</t>
    </r>
  </si>
  <si>
    <r>
      <t xml:space="preserve">Briggs AH.  Handling uncertainty in cost-effectiveness models.  </t>
    </r>
    <r>
      <rPr>
        <i/>
        <sz val="10"/>
        <rFont val="Arial"/>
        <family val="2"/>
      </rPr>
      <t/>
    </r>
  </si>
  <si>
    <r>
      <t xml:space="preserve">PharmacoEconomics </t>
    </r>
    <r>
      <rPr>
        <sz val="10"/>
        <rFont val="Arial"/>
        <family val="2"/>
      </rPr>
      <t>2000 (forthcoming).</t>
    </r>
  </si>
  <si>
    <t xml:space="preserve">The model outlined is the spreadsheet was used to illustrate the principles </t>
  </si>
  <si>
    <t>of Markov modelling and probabilistic sensitivity analysis in the following two papers:</t>
  </si>
  <si>
    <t>The model is made available for non-commercial teaching purposes only.</t>
  </si>
  <si>
    <t>I would be grateful if you could let me have any feedback concerning the use</t>
  </si>
  <si>
    <t>andrew.briggs@ihs.ox.ac.uk</t>
  </si>
  <si>
    <t>est. sd.</t>
  </si>
  <si>
    <t>alpha</t>
  </si>
  <si>
    <t>beta</t>
  </si>
  <si>
    <t>Probabilistic Sensitivity Analysis results</t>
  </si>
  <si>
    <t>Trial</t>
  </si>
  <si>
    <t>inc.Effect</t>
  </si>
  <si>
    <t>inc.Cost</t>
  </si>
  <si>
    <t xml:space="preserve">Note that none of these parameters are </t>
  </si>
  <si>
    <t>included in the probabilisitic analysis</t>
  </si>
  <si>
    <t>Press to run 1,000 simulation trials (recorded from A38 below)</t>
  </si>
  <si>
    <t>of this model (including errors, suggestions, issues of clarity etc.) by email:</t>
  </si>
  <si>
    <t>Markov Modelling and Probabilistic Sensitivity Analysis</t>
  </si>
  <si>
    <t xml:space="preserve">Briggs A, Sculpher M.  Introducing Markov models for economic evaluation. </t>
  </si>
  <si>
    <t>Diagrammatic representation of the Markov Model</t>
  </si>
  <si>
    <t>rDeath</t>
  </si>
  <si>
    <t>Restore (mean)</t>
  </si>
  <si>
    <t>age</t>
  </si>
  <si>
    <t>ΔEff</t>
  </si>
  <si>
    <t>ΔCost</t>
  </si>
  <si>
    <t>n_cohort</t>
  </si>
  <si>
    <t>Cohort population size</t>
  </si>
  <si>
    <t>Asymp_lag</t>
  </si>
  <si>
    <t>Prog_lag</t>
  </si>
  <si>
    <t>Death_lag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</si>
</sst>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_-&quot;£&quot;* #,##0_-;\-&quot;£&quot;* #,##0_-;_-&quot;£&quot;* &quot;-&quot;??_-;_-@_-"/>
    <numFmt numFmtId="165" formatCode="0.000"/>
    <numFmt numFmtId="166" formatCode="0.0000"/>
    <numFmt numFmtId="167" formatCode="0.00000"/>
    <numFmt numFmtId="168" formatCode="&quot;£&quot;#,##0"/>
    <numFmt numFmtId="169" formatCode="0.0%"/>
    <numFmt numFmtId="170" formatCode="_-* #,##0.000_-;\-* #,##0.000_-;_-* &quot;-&quot;??_-;_-@_-"/>
    <numFmt numFmtId="171" formatCode="0.0"/>
  </numFmts>
  <fonts count="19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color indexed="10"/>
      <name val="Arial"/>
      <family val="2"/>
    </font>
    <font>
      <i/>
      <sz val="10"/>
      <name val="Arial"/>
      <family val="2"/>
    </font>
    <font>
      <b/>
      <sz val="11"/>
      <color indexed="9"/>
      <name val="Arial"/>
      <family val="2"/>
    </font>
    <font>
      <b/>
      <sz val="10"/>
      <color indexed="8"/>
      <name val="Arial"/>
      <family val="2"/>
    </font>
    <font>
      <b/>
      <sz val="10"/>
      <color indexed="18"/>
      <name val="Arial"/>
      <family val="2"/>
    </font>
    <font>
      <sz val="9"/>
      <color indexed="9"/>
      <name val="Arial"/>
      <family val="2"/>
    </font>
    <font>
      <sz val="8"/>
      <name val="Arial"/>
      <family val="2"/>
    </font>
    <font>
      <sz val="12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10"/>
      <color indexed="81"/>
      <name val="Tahoma"/>
      <family val="2"/>
    </font>
    <font>
      <b/>
      <sz val="12"/>
      <color indexed="18"/>
      <name val="Arial"/>
      <family val="2"/>
    </font>
    <font>
      <b/>
      <sz val="12"/>
      <color indexed="32"/>
      <name val="Arial"/>
      <family val="2"/>
    </font>
    <font>
      <sz val="10"/>
      <color rgb="FF000000"/>
      <name val="Arial"/>
      <family val="2"/>
    </font>
    <font>
      <b/>
      <sz val="1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0" fontId="1" fillId="5" borderId="5" applyNumberFormat="0" applyFont="0" applyAlignment="0" applyProtection="0"/>
  </cellStyleXfs>
  <cellXfs count="70">
    <xf numFmtId="0" fontId="0" fillId="0" borderId="0" xfId="0"/>
    <xf numFmtId="0" fontId="2" fillId="0" borderId="0" xfId="0" applyFont="1"/>
    <xf numFmtId="0" fontId="3" fillId="0" borderId="0" xfId="0" applyFont="1"/>
    <xf numFmtId="9" fontId="0" fillId="0" borderId="0" xfId="0" applyNumberFormat="1"/>
    <xf numFmtId="0" fontId="4" fillId="0" borderId="0" xfId="0" applyFont="1"/>
    <xf numFmtId="164" fontId="0" fillId="0" borderId="0" xfId="2" applyNumberFormat="1" applyFont="1"/>
    <xf numFmtId="1" fontId="0" fillId="0" borderId="0" xfId="0" applyNumberFormat="1"/>
    <xf numFmtId="43" fontId="0" fillId="0" borderId="0" xfId="1" applyFont="1"/>
    <xf numFmtId="2" fontId="0" fillId="0" borderId="0" xfId="0" applyNumberFormat="1"/>
    <xf numFmtId="0" fontId="0" fillId="0" borderId="0" xfId="0" applyAlignment="1">
      <alignment horizontal="right"/>
    </xf>
    <xf numFmtId="165" fontId="0" fillId="0" borderId="0" xfId="0" applyNumberFormat="1"/>
    <xf numFmtId="0" fontId="0" fillId="0" borderId="0" xfId="0" applyFill="1" applyBorder="1" applyAlignment="1"/>
    <xf numFmtId="9" fontId="0" fillId="0" borderId="0" xfId="0" applyNumberFormat="1" applyFill="1" applyBorder="1" applyAlignment="1"/>
    <xf numFmtId="0" fontId="6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left"/>
    </xf>
    <xf numFmtId="0" fontId="0" fillId="0" borderId="3" xfId="0" applyFill="1" applyBorder="1" applyAlignment="1"/>
    <xf numFmtId="0" fontId="7" fillId="3" borderId="0" xfId="0" applyFont="1" applyFill="1" applyBorder="1" applyAlignment="1">
      <alignment horizontal="left"/>
    </xf>
    <xf numFmtId="0" fontId="8" fillId="3" borderId="3" xfId="0" applyFont="1" applyFill="1" applyBorder="1" applyAlignment="1">
      <alignment horizontal="left"/>
    </xf>
    <xf numFmtId="0" fontId="7" fillId="3" borderId="4" xfId="0" applyFont="1" applyFill="1" applyBorder="1" applyAlignment="1">
      <alignment horizontal="left"/>
    </xf>
    <xf numFmtId="0" fontId="9" fillId="2" borderId="2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0" fillId="4" borderId="0" xfId="0" applyFill="1" applyBorder="1" applyAlignment="1"/>
    <xf numFmtId="9" fontId="0" fillId="4" borderId="0" xfId="0" applyNumberFormat="1" applyFill="1" applyBorder="1" applyAlignment="1"/>
    <xf numFmtId="0" fontId="10" fillId="0" borderId="0" xfId="0" applyFont="1" applyFill="1" applyBorder="1" applyAlignment="1">
      <alignment vertical="top" wrapText="1"/>
    </xf>
    <xf numFmtId="164" fontId="0" fillId="0" borderId="0" xfId="0" applyNumberFormat="1" applyFill="1" applyBorder="1" applyAlignment="1"/>
    <xf numFmtId="43" fontId="0" fillId="0" borderId="0" xfId="0" applyNumberFormat="1" applyFill="1" applyBorder="1" applyAlignment="1"/>
    <xf numFmtId="164" fontId="0" fillId="0" borderId="4" xfId="0" applyNumberFormat="1" applyFill="1" applyBorder="1" applyAlignment="1"/>
    <xf numFmtId="0" fontId="2" fillId="0" borderId="0" xfId="0" applyFont="1" applyAlignment="1">
      <alignment horizontal="right"/>
    </xf>
    <xf numFmtId="168" fontId="0" fillId="0" borderId="0" xfId="0" applyNumberFormat="1"/>
    <xf numFmtId="10" fontId="0" fillId="0" borderId="0" xfId="0" applyNumberFormat="1"/>
    <xf numFmtId="166" fontId="0" fillId="0" borderId="0" xfId="0" applyNumberFormat="1"/>
    <xf numFmtId="169" fontId="0" fillId="0" borderId="0" xfId="4" applyNumberFormat="1" applyFont="1"/>
    <xf numFmtId="170" fontId="0" fillId="0" borderId="0" xfId="1" applyNumberFormat="1" applyFont="1"/>
    <xf numFmtId="167" fontId="0" fillId="0" borderId="0" xfId="0" applyNumberFormat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12" fillId="0" borderId="0" xfId="3" applyAlignment="1" applyProtection="1">
      <alignment horizontal="center"/>
    </xf>
    <xf numFmtId="0" fontId="13" fillId="0" borderId="0" xfId="0" applyFont="1"/>
    <xf numFmtId="0" fontId="15" fillId="0" borderId="0" xfId="0" applyFont="1"/>
    <xf numFmtId="0" fontId="0" fillId="0" borderId="0" xfId="0" applyBorder="1"/>
    <xf numFmtId="2" fontId="13" fillId="5" borderId="5" xfId="5" applyNumberFormat="1" applyFont="1" applyAlignment="1">
      <alignment horizontal="right"/>
    </xf>
    <xf numFmtId="0" fontId="0" fillId="5" borderId="5" xfId="5" applyFont="1"/>
    <xf numFmtId="9" fontId="0" fillId="5" borderId="5" xfId="5" applyNumberFormat="1" applyFont="1"/>
    <xf numFmtId="165" fontId="0" fillId="5" borderId="5" xfId="5" applyNumberFormat="1" applyFont="1"/>
    <xf numFmtId="2" fontId="0" fillId="5" borderId="5" xfId="5" applyNumberFormat="1" applyFont="1"/>
    <xf numFmtId="1" fontId="0" fillId="5" borderId="5" xfId="5" applyNumberFormat="1" applyFont="1"/>
    <xf numFmtId="0" fontId="16" fillId="0" borderId="0" xfId="0" applyFont="1"/>
    <xf numFmtId="0" fontId="0" fillId="0" borderId="0" xfId="0" applyFill="1"/>
    <xf numFmtId="0" fontId="2" fillId="0" borderId="0" xfId="0" applyFont="1" applyFill="1"/>
    <xf numFmtId="0" fontId="0" fillId="0" borderId="5" xfId="5" applyFont="1" applyFill="1"/>
    <xf numFmtId="1" fontId="0" fillId="0" borderId="6" xfId="0" applyNumberFormat="1" applyBorder="1"/>
    <xf numFmtId="2" fontId="0" fillId="0" borderId="6" xfId="0" applyNumberFormat="1" applyBorder="1"/>
    <xf numFmtId="0" fontId="1" fillId="0" borderId="0" xfId="0" applyFont="1"/>
    <xf numFmtId="43" fontId="0" fillId="0" borderId="0" xfId="0" applyNumberFormat="1"/>
    <xf numFmtId="168" fontId="1" fillId="0" borderId="0" xfId="0" applyNumberFormat="1" applyFont="1"/>
    <xf numFmtId="43" fontId="1" fillId="0" borderId="0" xfId="1" applyFont="1"/>
    <xf numFmtId="43" fontId="1" fillId="0" borderId="0" xfId="1" applyFont="1" applyBorder="1"/>
    <xf numFmtId="168" fontId="1" fillId="0" borderId="0" xfId="0" applyNumberFormat="1" applyFont="1" applyBorder="1"/>
    <xf numFmtId="1" fontId="0" fillId="0" borderId="0" xfId="0" applyNumberFormat="1" applyFill="1"/>
    <xf numFmtId="171" fontId="0" fillId="5" borderId="5" xfId="5" applyNumberFormat="1" applyFont="1"/>
    <xf numFmtId="171" fontId="0" fillId="0" borderId="0" xfId="0" applyNumberFormat="1"/>
    <xf numFmtId="2" fontId="2" fillId="0" borderId="0" xfId="0" applyNumberFormat="1" applyFont="1"/>
    <xf numFmtId="1" fontId="2" fillId="0" borderId="0" xfId="0" applyNumberFormat="1" applyFont="1"/>
    <xf numFmtId="0" fontId="18" fillId="0" borderId="0" xfId="0" applyFont="1"/>
    <xf numFmtId="0" fontId="0" fillId="6" borderId="5" xfId="5" applyFont="1" applyFill="1"/>
    <xf numFmtId="0" fontId="5" fillId="0" borderId="0" xfId="0" applyFont="1" applyFill="1" applyBorder="1"/>
    <xf numFmtId="2" fontId="0" fillId="0" borderId="0" xfId="0" applyNumberFormat="1" applyBorder="1"/>
  </cellXfs>
  <cellStyles count="6">
    <cellStyle name="Comma" xfId="1" builtinId="3"/>
    <cellStyle name="Currency" xfId="2" builtinId="4"/>
    <cellStyle name="Hyperlink" xfId="3" builtinId="8"/>
    <cellStyle name="Normal" xfId="0" builtinId="0"/>
    <cellStyle name="Note" xfId="5" builtinId="10"/>
    <cellStyle name="Percent" xfId="4" builtinId="5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hartsheet" Target="chartsheets/sheet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Cost-effectiveness plane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'Parameters and Analysis'!$B$38:$B$1037</c:f>
              <c:numCache>
                <c:formatCode>_(* #,##0.00_);_(* \(#,##0.00\);_(* "-"??_);_(@_)</c:formatCode>
                <c:ptCount val="1000"/>
                <c:pt idx="0">
                  <c:v>0.84527907774704136</c:v>
                </c:pt>
                <c:pt idx="1">
                  <c:v>0.72309839997740255</c:v>
                </c:pt>
                <c:pt idx="2">
                  <c:v>0.96993071118578289</c:v>
                </c:pt>
                <c:pt idx="3">
                  <c:v>0.78320441438676092</c:v>
                </c:pt>
                <c:pt idx="4">
                  <c:v>0.77941468907131295</c:v>
                </c:pt>
                <c:pt idx="5">
                  <c:v>0.79655011823017841</c:v>
                </c:pt>
                <c:pt idx="6">
                  <c:v>0.70852549871840775</c:v>
                </c:pt>
                <c:pt idx="7">
                  <c:v>0.82141747851862057</c:v>
                </c:pt>
                <c:pt idx="8">
                  <c:v>0.87420649941819661</c:v>
                </c:pt>
                <c:pt idx="9">
                  <c:v>0.83555244350584523</c:v>
                </c:pt>
                <c:pt idx="10">
                  <c:v>0.91436129871420491</c:v>
                </c:pt>
                <c:pt idx="11">
                  <c:v>0.98010614522817274</c:v>
                </c:pt>
                <c:pt idx="12">
                  <c:v>0.86650324162916448</c:v>
                </c:pt>
                <c:pt idx="13">
                  <c:v>0.57599110640894935</c:v>
                </c:pt>
                <c:pt idx="14">
                  <c:v>0.72219705612540253</c:v>
                </c:pt>
                <c:pt idx="15">
                  <c:v>1.1873707659550128</c:v>
                </c:pt>
                <c:pt idx="16">
                  <c:v>1.001928344273181</c:v>
                </c:pt>
                <c:pt idx="17">
                  <c:v>0.85247008037617533</c:v>
                </c:pt>
                <c:pt idx="18">
                  <c:v>0.84491231951237911</c:v>
                </c:pt>
                <c:pt idx="19">
                  <c:v>0.7744116862632513</c:v>
                </c:pt>
                <c:pt idx="20">
                  <c:v>0.81417876491739882</c:v>
                </c:pt>
                <c:pt idx="21">
                  <c:v>0.80498908210312603</c:v>
                </c:pt>
                <c:pt idx="22">
                  <c:v>0.97214742695116296</c:v>
                </c:pt>
                <c:pt idx="23">
                  <c:v>1.0824137401037071</c:v>
                </c:pt>
                <c:pt idx="24">
                  <c:v>0.7023846712280335</c:v>
                </c:pt>
                <c:pt idx="25">
                  <c:v>0.82067441257444251</c:v>
                </c:pt>
                <c:pt idx="26">
                  <c:v>0.95787244456612441</c:v>
                </c:pt>
                <c:pt idx="27">
                  <c:v>0.83617929370455713</c:v>
                </c:pt>
                <c:pt idx="28">
                  <c:v>0.77067148939806174</c:v>
                </c:pt>
                <c:pt idx="29">
                  <c:v>0.90812849544260743</c:v>
                </c:pt>
                <c:pt idx="30">
                  <c:v>1.0193542711353469</c:v>
                </c:pt>
                <c:pt idx="31">
                  <c:v>0.71228011997097873</c:v>
                </c:pt>
                <c:pt idx="32">
                  <c:v>0.74796367501519434</c:v>
                </c:pt>
                <c:pt idx="33">
                  <c:v>0.70658906639762975</c:v>
                </c:pt>
                <c:pt idx="34">
                  <c:v>0.6642367836564036</c:v>
                </c:pt>
                <c:pt idx="35">
                  <c:v>1.0495910908954444</c:v>
                </c:pt>
                <c:pt idx="36">
                  <c:v>0.84885443393786719</c:v>
                </c:pt>
                <c:pt idx="37">
                  <c:v>0.75580708400447705</c:v>
                </c:pt>
                <c:pt idx="38">
                  <c:v>1.0185583294192257</c:v>
                </c:pt>
                <c:pt idx="39">
                  <c:v>0.76181714828990366</c:v>
                </c:pt>
                <c:pt idx="40">
                  <c:v>0.69765611956049511</c:v>
                </c:pt>
                <c:pt idx="41">
                  <c:v>0.97819239640148758</c:v>
                </c:pt>
                <c:pt idx="42">
                  <c:v>0.76168133652380909</c:v>
                </c:pt>
                <c:pt idx="43">
                  <c:v>1.1932762266356844</c:v>
                </c:pt>
                <c:pt idx="44">
                  <c:v>0.98481993492539477</c:v>
                </c:pt>
                <c:pt idx="45">
                  <c:v>0.95121108496378248</c:v>
                </c:pt>
                <c:pt idx="46">
                  <c:v>0.72112540158158467</c:v>
                </c:pt>
                <c:pt idx="47">
                  <c:v>0.8272971948995913</c:v>
                </c:pt>
                <c:pt idx="48">
                  <c:v>1.015895345685025</c:v>
                </c:pt>
                <c:pt idx="49">
                  <c:v>0.69457303165967943</c:v>
                </c:pt>
                <c:pt idx="50">
                  <c:v>0.92094103128260407</c:v>
                </c:pt>
                <c:pt idx="51">
                  <c:v>0.84250597203881483</c:v>
                </c:pt>
                <c:pt idx="52">
                  <c:v>0.83200327197021551</c:v>
                </c:pt>
                <c:pt idx="53">
                  <c:v>0.85705462222068185</c:v>
                </c:pt>
                <c:pt idx="54">
                  <c:v>0.79985319465224958</c:v>
                </c:pt>
                <c:pt idx="55">
                  <c:v>1.0163601533969828</c:v>
                </c:pt>
                <c:pt idx="56">
                  <c:v>0.96126598679195308</c:v>
                </c:pt>
                <c:pt idx="57">
                  <c:v>0.88564133892801777</c:v>
                </c:pt>
                <c:pt idx="58">
                  <c:v>0.69443091796372158</c:v>
                </c:pt>
                <c:pt idx="59">
                  <c:v>0.93356166978993382</c:v>
                </c:pt>
                <c:pt idx="60">
                  <c:v>0.88390637040829745</c:v>
                </c:pt>
                <c:pt idx="61">
                  <c:v>0.62183650052436157</c:v>
                </c:pt>
                <c:pt idx="62">
                  <c:v>0.85307262255688432</c:v>
                </c:pt>
                <c:pt idx="63">
                  <c:v>0.94377460670186331</c:v>
                </c:pt>
                <c:pt idx="64">
                  <c:v>0.90849193624443814</c:v>
                </c:pt>
                <c:pt idx="65">
                  <c:v>0.60456929211399846</c:v>
                </c:pt>
                <c:pt idx="66">
                  <c:v>0.7157129579258612</c:v>
                </c:pt>
                <c:pt idx="67">
                  <c:v>0.79359292288394201</c:v>
                </c:pt>
                <c:pt idx="68">
                  <c:v>0.73261341080288123</c:v>
                </c:pt>
                <c:pt idx="69">
                  <c:v>0.80636585207838873</c:v>
                </c:pt>
                <c:pt idx="70">
                  <c:v>0.83394864655590695</c:v>
                </c:pt>
                <c:pt idx="71">
                  <c:v>0.96783358358259264</c:v>
                </c:pt>
                <c:pt idx="72">
                  <c:v>0.73023918074019445</c:v>
                </c:pt>
                <c:pt idx="73">
                  <c:v>0.65880383767233042</c:v>
                </c:pt>
                <c:pt idx="74">
                  <c:v>0.65758164605929359</c:v>
                </c:pt>
                <c:pt idx="75">
                  <c:v>1.0307238535608985</c:v>
                </c:pt>
                <c:pt idx="76">
                  <c:v>1.2232998070163088</c:v>
                </c:pt>
                <c:pt idx="77">
                  <c:v>1.046837946920923</c:v>
                </c:pt>
                <c:pt idx="78">
                  <c:v>0.7259262604478014</c:v>
                </c:pt>
                <c:pt idx="79">
                  <c:v>0.77305678883246465</c:v>
                </c:pt>
                <c:pt idx="80">
                  <c:v>0.94178813826366259</c:v>
                </c:pt>
                <c:pt idx="81">
                  <c:v>0.6260843477889857</c:v>
                </c:pt>
                <c:pt idx="82">
                  <c:v>0.83214075500956675</c:v>
                </c:pt>
                <c:pt idx="83">
                  <c:v>1.0402283283660427</c:v>
                </c:pt>
                <c:pt idx="84">
                  <c:v>0.87452235069369522</c:v>
                </c:pt>
                <c:pt idx="85">
                  <c:v>0.95247523365594233</c:v>
                </c:pt>
                <c:pt idx="86">
                  <c:v>0.87102637984521714</c:v>
                </c:pt>
                <c:pt idx="87">
                  <c:v>0.88178056829326223</c:v>
                </c:pt>
                <c:pt idx="88">
                  <c:v>0.78998192273897594</c:v>
                </c:pt>
                <c:pt idx="89">
                  <c:v>0.68687974314473266</c:v>
                </c:pt>
                <c:pt idx="90">
                  <c:v>0.70418953679979612</c:v>
                </c:pt>
                <c:pt idx="91">
                  <c:v>0.90896693748384472</c:v>
                </c:pt>
                <c:pt idx="92">
                  <c:v>0.82714340653140184</c:v>
                </c:pt>
                <c:pt idx="93">
                  <c:v>0.90802244030120782</c:v>
                </c:pt>
                <c:pt idx="94">
                  <c:v>0.87953514910946939</c:v>
                </c:pt>
                <c:pt idx="95">
                  <c:v>0.74565940758632809</c:v>
                </c:pt>
                <c:pt idx="96">
                  <c:v>0.8914498018216932</c:v>
                </c:pt>
                <c:pt idx="97">
                  <c:v>1.0512592954443507</c:v>
                </c:pt>
                <c:pt idx="98">
                  <c:v>1.1492102609417882</c:v>
                </c:pt>
                <c:pt idx="99">
                  <c:v>0.98093742062978073</c:v>
                </c:pt>
                <c:pt idx="100">
                  <c:v>1.0648352897033497</c:v>
                </c:pt>
                <c:pt idx="101">
                  <c:v>0.83283134023098526</c:v>
                </c:pt>
                <c:pt idx="102">
                  <c:v>0.85202666403850102</c:v>
                </c:pt>
                <c:pt idx="103">
                  <c:v>0.8384783771889186</c:v>
                </c:pt>
                <c:pt idx="104">
                  <c:v>0.88885193712577326</c:v>
                </c:pt>
                <c:pt idx="105">
                  <c:v>0.85247672470060731</c:v>
                </c:pt>
                <c:pt idx="106">
                  <c:v>0.77292718154119644</c:v>
                </c:pt>
                <c:pt idx="107">
                  <c:v>0.88686068180190691</c:v>
                </c:pt>
                <c:pt idx="108">
                  <c:v>0.75623802985049249</c:v>
                </c:pt>
                <c:pt idx="109">
                  <c:v>0.90753830082160647</c:v>
                </c:pt>
                <c:pt idx="110">
                  <c:v>0.94314886408239396</c:v>
                </c:pt>
                <c:pt idx="111">
                  <c:v>0.78952341762875466</c:v>
                </c:pt>
                <c:pt idx="112">
                  <c:v>0.87411602621472095</c:v>
                </c:pt>
                <c:pt idx="113">
                  <c:v>0.98829474777524062</c:v>
                </c:pt>
                <c:pt idx="114">
                  <c:v>0.85677787400096417</c:v>
                </c:pt>
                <c:pt idx="115">
                  <c:v>0.8063471441638983</c:v>
                </c:pt>
                <c:pt idx="116">
                  <c:v>0.83821333751556537</c:v>
                </c:pt>
                <c:pt idx="117">
                  <c:v>1.2788696705877847</c:v>
                </c:pt>
                <c:pt idx="118">
                  <c:v>0.84837685837230215</c:v>
                </c:pt>
                <c:pt idx="119">
                  <c:v>0.53390147649726316</c:v>
                </c:pt>
                <c:pt idx="120">
                  <c:v>0.88775318927754743</c:v>
                </c:pt>
                <c:pt idx="121">
                  <c:v>0.8669304687260313</c:v>
                </c:pt>
                <c:pt idx="122">
                  <c:v>0.80577883195878641</c:v>
                </c:pt>
                <c:pt idx="123">
                  <c:v>0.66688220051708669</c:v>
                </c:pt>
                <c:pt idx="124">
                  <c:v>0.8512271068825461</c:v>
                </c:pt>
                <c:pt idx="125">
                  <c:v>0.76455109753804251</c:v>
                </c:pt>
                <c:pt idx="126">
                  <c:v>0.84667574983744309</c:v>
                </c:pt>
                <c:pt idx="127">
                  <c:v>1.3525726209330102</c:v>
                </c:pt>
                <c:pt idx="128">
                  <c:v>0.67816363511057531</c:v>
                </c:pt>
                <c:pt idx="129">
                  <c:v>0.88133920690267153</c:v>
                </c:pt>
                <c:pt idx="130">
                  <c:v>0.79774778261866874</c:v>
                </c:pt>
                <c:pt idx="131">
                  <c:v>0.97193804056365707</c:v>
                </c:pt>
                <c:pt idx="132">
                  <c:v>0.75674653893877597</c:v>
                </c:pt>
                <c:pt idx="133">
                  <c:v>0.95689439289230194</c:v>
                </c:pt>
                <c:pt idx="134">
                  <c:v>0.67394348477467325</c:v>
                </c:pt>
                <c:pt idx="135">
                  <c:v>0.85915499452178246</c:v>
                </c:pt>
                <c:pt idx="136">
                  <c:v>0.75917466321732885</c:v>
                </c:pt>
                <c:pt idx="137">
                  <c:v>0.67936416963630464</c:v>
                </c:pt>
                <c:pt idx="138">
                  <c:v>0.88396324254737468</c:v>
                </c:pt>
                <c:pt idx="139">
                  <c:v>0.91376968782999946</c:v>
                </c:pt>
                <c:pt idx="140">
                  <c:v>0.8449265570647384</c:v>
                </c:pt>
                <c:pt idx="141">
                  <c:v>1.035761530117794</c:v>
                </c:pt>
                <c:pt idx="142">
                  <c:v>1.1200826256747076</c:v>
                </c:pt>
                <c:pt idx="143">
                  <c:v>0.82095610006590292</c:v>
                </c:pt>
                <c:pt idx="144">
                  <c:v>0.56122005728714353</c:v>
                </c:pt>
                <c:pt idx="145">
                  <c:v>0.84363466736124071</c:v>
                </c:pt>
                <c:pt idx="146">
                  <c:v>0.92132128196931351</c:v>
                </c:pt>
                <c:pt idx="147">
                  <c:v>0.60669045955880385</c:v>
                </c:pt>
                <c:pt idx="148">
                  <c:v>0.87035907505945787</c:v>
                </c:pt>
                <c:pt idx="149">
                  <c:v>0.92152493901078802</c:v>
                </c:pt>
                <c:pt idx="150">
                  <c:v>0.92546568460344059</c:v>
                </c:pt>
                <c:pt idx="151">
                  <c:v>0.76682488171383678</c:v>
                </c:pt>
                <c:pt idx="152">
                  <c:v>0.99393576210608181</c:v>
                </c:pt>
                <c:pt idx="153">
                  <c:v>0.81267246293111839</c:v>
                </c:pt>
                <c:pt idx="154">
                  <c:v>1.0161930102902286</c:v>
                </c:pt>
                <c:pt idx="155">
                  <c:v>0.9222390992117715</c:v>
                </c:pt>
                <c:pt idx="156">
                  <c:v>0.84687354653503455</c:v>
                </c:pt>
                <c:pt idx="157">
                  <c:v>0.65729860883865143</c:v>
                </c:pt>
                <c:pt idx="158">
                  <c:v>1.0596060036512487</c:v>
                </c:pt>
                <c:pt idx="159">
                  <c:v>1.0881816617669777</c:v>
                </c:pt>
                <c:pt idx="160">
                  <c:v>0.78996289163699984</c:v>
                </c:pt>
                <c:pt idx="161">
                  <c:v>0.92835859813058264</c:v>
                </c:pt>
                <c:pt idx="162">
                  <c:v>1.0794350207238885</c:v>
                </c:pt>
                <c:pt idx="163">
                  <c:v>0.80662957557690973</c:v>
                </c:pt>
                <c:pt idx="164">
                  <c:v>1.3172457836799403</c:v>
                </c:pt>
                <c:pt idx="165">
                  <c:v>0.833923566212186</c:v>
                </c:pt>
                <c:pt idx="166">
                  <c:v>0.84195316201502202</c:v>
                </c:pt>
                <c:pt idx="167">
                  <c:v>0.72504178037810441</c:v>
                </c:pt>
                <c:pt idx="168">
                  <c:v>0.80065276948302522</c:v>
                </c:pt>
                <c:pt idx="169">
                  <c:v>0.98288398432475521</c:v>
                </c:pt>
                <c:pt idx="170">
                  <c:v>0.7024371154344049</c:v>
                </c:pt>
                <c:pt idx="171">
                  <c:v>0.90164892097885918</c:v>
                </c:pt>
                <c:pt idx="172">
                  <c:v>0.83830095352858081</c:v>
                </c:pt>
                <c:pt idx="173">
                  <c:v>0.7913741565442729</c:v>
                </c:pt>
                <c:pt idx="174">
                  <c:v>0.75811555932760832</c:v>
                </c:pt>
                <c:pt idx="175">
                  <c:v>0.85563878469944932</c:v>
                </c:pt>
                <c:pt idx="176">
                  <c:v>0.98151879190306968</c:v>
                </c:pt>
                <c:pt idx="177">
                  <c:v>0.80611276233949525</c:v>
                </c:pt>
                <c:pt idx="178">
                  <c:v>0.98207861907776106</c:v>
                </c:pt>
                <c:pt idx="179">
                  <c:v>1.0578460637384106</c:v>
                </c:pt>
                <c:pt idx="180">
                  <c:v>0.92153432449055384</c:v>
                </c:pt>
                <c:pt idx="181">
                  <c:v>0.86405507177286811</c:v>
                </c:pt>
                <c:pt idx="182">
                  <c:v>1.113596455114263</c:v>
                </c:pt>
                <c:pt idx="183">
                  <c:v>0.99006963555406902</c:v>
                </c:pt>
                <c:pt idx="184">
                  <c:v>0.85319979583800354</c:v>
                </c:pt>
                <c:pt idx="185">
                  <c:v>0.853926597243583</c:v>
                </c:pt>
                <c:pt idx="186">
                  <c:v>1.1388027953454651</c:v>
                </c:pt>
                <c:pt idx="187">
                  <c:v>0.72662302829747016</c:v>
                </c:pt>
                <c:pt idx="188">
                  <c:v>0.83423274165099492</c:v>
                </c:pt>
                <c:pt idx="189">
                  <c:v>0.63981615627261412</c:v>
                </c:pt>
                <c:pt idx="190">
                  <c:v>0.80349497938754855</c:v>
                </c:pt>
                <c:pt idx="191">
                  <c:v>0.9284566957064202</c:v>
                </c:pt>
                <c:pt idx="192">
                  <c:v>0.73405157489328055</c:v>
                </c:pt>
                <c:pt idx="193">
                  <c:v>0.82001021877610647</c:v>
                </c:pt>
                <c:pt idx="194">
                  <c:v>0.94058304326106335</c:v>
                </c:pt>
                <c:pt idx="195">
                  <c:v>0.81145285644687526</c:v>
                </c:pt>
                <c:pt idx="196">
                  <c:v>0.67705485723681669</c:v>
                </c:pt>
                <c:pt idx="197">
                  <c:v>0.70404603525653187</c:v>
                </c:pt>
                <c:pt idx="198">
                  <c:v>0.80949138090707695</c:v>
                </c:pt>
                <c:pt idx="199">
                  <c:v>0.90806504940390109</c:v>
                </c:pt>
                <c:pt idx="200">
                  <c:v>1.3380954372167295</c:v>
                </c:pt>
                <c:pt idx="201">
                  <c:v>1.2447641532787221</c:v>
                </c:pt>
                <c:pt idx="202">
                  <c:v>0.7741659010585602</c:v>
                </c:pt>
                <c:pt idx="203">
                  <c:v>1.2591714207643605</c:v>
                </c:pt>
                <c:pt idx="204">
                  <c:v>0.95129932610435919</c:v>
                </c:pt>
                <c:pt idx="205">
                  <c:v>0.87256678408608579</c:v>
                </c:pt>
                <c:pt idx="206">
                  <c:v>0.80933393148272703</c:v>
                </c:pt>
                <c:pt idx="207">
                  <c:v>0.74388382605267012</c:v>
                </c:pt>
                <c:pt idx="208">
                  <c:v>0.80939068616047649</c:v>
                </c:pt>
                <c:pt idx="209">
                  <c:v>0.91981739437960286</c:v>
                </c:pt>
                <c:pt idx="210">
                  <c:v>0.97256326800667914</c:v>
                </c:pt>
                <c:pt idx="211">
                  <c:v>0.58844431886362614</c:v>
                </c:pt>
                <c:pt idx="212">
                  <c:v>0.71027667565613406</c:v>
                </c:pt>
                <c:pt idx="213">
                  <c:v>0.93263667589679677</c:v>
                </c:pt>
                <c:pt idx="214">
                  <c:v>1.0742586186798331</c:v>
                </c:pt>
                <c:pt idx="215">
                  <c:v>0.63001640489389032</c:v>
                </c:pt>
                <c:pt idx="216">
                  <c:v>0.6781650208948129</c:v>
                </c:pt>
                <c:pt idx="217">
                  <c:v>1.1107269038531777</c:v>
                </c:pt>
                <c:pt idx="218">
                  <c:v>0.69220867414571252</c:v>
                </c:pt>
                <c:pt idx="219">
                  <c:v>0.8245983980147269</c:v>
                </c:pt>
                <c:pt idx="220">
                  <c:v>0.65478523336108552</c:v>
                </c:pt>
                <c:pt idx="221">
                  <c:v>0.86254264473965581</c:v>
                </c:pt>
                <c:pt idx="222">
                  <c:v>0.71016679398215743</c:v>
                </c:pt>
                <c:pt idx="223">
                  <c:v>0.63825508406916853</c:v>
                </c:pt>
                <c:pt idx="224">
                  <c:v>0.90636234898960488</c:v>
                </c:pt>
                <c:pt idx="225">
                  <c:v>0.62902785308278908</c:v>
                </c:pt>
                <c:pt idx="226">
                  <c:v>1.013765918946067</c:v>
                </c:pt>
                <c:pt idx="227">
                  <c:v>0.97511429612162903</c:v>
                </c:pt>
                <c:pt idx="228">
                  <c:v>1.0369674411700531</c:v>
                </c:pt>
                <c:pt idx="229">
                  <c:v>0.6144722053871936</c:v>
                </c:pt>
                <c:pt idx="230">
                  <c:v>1.011400061811969</c:v>
                </c:pt>
                <c:pt idx="231">
                  <c:v>0.78110297474385781</c:v>
                </c:pt>
                <c:pt idx="232">
                  <c:v>0.70708483129835553</c:v>
                </c:pt>
                <c:pt idx="233">
                  <c:v>0.63800764034924207</c:v>
                </c:pt>
                <c:pt idx="234">
                  <c:v>0.89479510715854538</c:v>
                </c:pt>
                <c:pt idx="235">
                  <c:v>0.66005736981600549</c:v>
                </c:pt>
                <c:pt idx="236">
                  <c:v>1.1575199940749776</c:v>
                </c:pt>
                <c:pt idx="237">
                  <c:v>0.80449349902018064</c:v>
                </c:pt>
                <c:pt idx="238">
                  <c:v>1.0784531222856275</c:v>
                </c:pt>
                <c:pt idx="239">
                  <c:v>0.98149432102577361</c:v>
                </c:pt>
                <c:pt idx="240">
                  <c:v>0.89406011072576597</c:v>
                </c:pt>
                <c:pt idx="241">
                  <c:v>0.79373011010924621</c:v>
                </c:pt>
                <c:pt idx="242">
                  <c:v>0.80026061713047092</c:v>
                </c:pt>
                <c:pt idx="243">
                  <c:v>0.64971706347108604</c:v>
                </c:pt>
                <c:pt idx="244">
                  <c:v>0.79754595126571726</c:v>
                </c:pt>
                <c:pt idx="245">
                  <c:v>0.77474210418204237</c:v>
                </c:pt>
                <c:pt idx="246">
                  <c:v>0.85233284805102016</c:v>
                </c:pt>
                <c:pt idx="247">
                  <c:v>1.011591798335667</c:v>
                </c:pt>
                <c:pt idx="248">
                  <c:v>0.66200186776291314</c:v>
                </c:pt>
                <c:pt idx="249">
                  <c:v>0.80493870740718876</c:v>
                </c:pt>
                <c:pt idx="250">
                  <c:v>0.62220077986817834</c:v>
                </c:pt>
                <c:pt idx="251">
                  <c:v>0.94892048275605934</c:v>
                </c:pt>
                <c:pt idx="252">
                  <c:v>0.92630562218466306</c:v>
                </c:pt>
                <c:pt idx="253">
                  <c:v>0.74625927340329934</c:v>
                </c:pt>
                <c:pt idx="254">
                  <c:v>0.78141573555954302</c:v>
                </c:pt>
                <c:pt idx="255">
                  <c:v>0.68775976001759886</c:v>
                </c:pt>
                <c:pt idx="256">
                  <c:v>0.9937233454361003</c:v>
                </c:pt>
                <c:pt idx="257">
                  <c:v>1.1986186795301705</c:v>
                </c:pt>
                <c:pt idx="258">
                  <c:v>0.67236030366013644</c:v>
                </c:pt>
                <c:pt idx="259">
                  <c:v>1.2265539731092341</c:v>
                </c:pt>
                <c:pt idx="260">
                  <c:v>0.62194909039354229</c:v>
                </c:pt>
                <c:pt idx="261">
                  <c:v>0.65279383107744238</c:v>
                </c:pt>
                <c:pt idx="262">
                  <c:v>0.66713691058304647</c:v>
                </c:pt>
                <c:pt idx="263">
                  <c:v>1.0998579491929563</c:v>
                </c:pt>
                <c:pt idx="264">
                  <c:v>1.0148008993078683</c:v>
                </c:pt>
                <c:pt idx="265">
                  <c:v>0.54669898279557394</c:v>
                </c:pt>
                <c:pt idx="266">
                  <c:v>0.91410933235337133</c:v>
                </c:pt>
                <c:pt idx="267">
                  <c:v>0.87874208412576138</c:v>
                </c:pt>
                <c:pt idx="268">
                  <c:v>0.82101665449260519</c:v>
                </c:pt>
                <c:pt idx="269">
                  <c:v>0.61668061108888317</c:v>
                </c:pt>
                <c:pt idx="270">
                  <c:v>0.5606005931037128</c:v>
                </c:pt>
                <c:pt idx="271">
                  <c:v>0.88997476658619323</c:v>
                </c:pt>
                <c:pt idx="272">
                  <c:v>0.75782982212985317</c:v>
                </c:pt>
                <c:pt idx="273">
                  <c:v>0.78671460437817853</c:v>
                </c:pt>
                <c:pt idx="274">
                  <c:v>0.69858665075415427</c:v>
                </c:pt>
                <c:pt idx="275">
                  <c:v>0.89040458219911844</c:v>
                </c:pt>
                <c:pt idx="276">
                  <c:v>1.1738401086611301</c:v>
                </c:pt>
                <c:pt idx="277">
                  <c:v>0.69505573601901283</c:v>
                </c:pt>
                <c:pt idx="278">
                  <c:v>0.88884171342482343</c:v>
                </c:pt>
                <c:pt idx="279">
                  <c:v>1.0150035383947937</c:v>
                </c:pt>
                <c:pt idx="280">
                  <c:v>0.65814820134933871</c:v>
                </c:pt>
                <c:pt idx="281">
                  <c:v>0.62071038997254124</c:v>
                </c:pt>
                <c:pt idx="282">
                  <c:v>0.9162539043179283</c:v>
                </c:pt>
                <c:pt idx="283">
                  <c:v>0.66557440052550376</c:v>
                </c:pt>
                <c:pt idx="284">
                  <c:v>1.0900647420423191</c:v>
                </c:pt>
                <c:pt idx="285">
                  <c:v>0.82375803471068387</c:v>
                </c:pt>
                <c:pt idx="286">
                  <c:v>0.94242829827847885</c:v>
                </c:pt>
                <c:pt idx="287">
                  <c:v>0.95665857354369255</c:v>
                </c:pt>
                <c:pt idx="288">
                  <c:v>0.70921687941715383</c:v>
                </c:pt>
                <c:pt idx="289">
                  <c:v>0.7004676568695265</c:v>
                </c:pt>
                <c:pt idx="290">
                  <c:v>1.1376563828811284</c:v>
                </c:pt>
                <c:pt idx="291">
                  <c:v>0.73378698293567091</c:v>
                </c:pt>
                <c:pt idx="292">
                  <c:v>0.7067105497958881</c:v>
                </c:pt>
                <c:pt idx="293">
                  <c:v>0.78099450117832347</c:v>
                </c:pt>
                <c:pt idx="294">
                  <c:v>0.70925582936245046</c:v>
                </c:pt>
                <c:pt idx="295">
                  <c:v>1.0338919266451914</c:v>
                </c:pt>
                <c:pt idx="296">
                  <c:v>0.6447599378915303</c:v>
                </c:pt>
                <c:pt idx="297">
                  <c:v>0.98198915393008424</c:v>
                </c:pt>
                <c:pt idx="298">
                  <c:v>0.85148217922656055</c:v>
                </c:pt>
                <c:pt idx="299">
                  <c:v>0.84291463824173896</c:v>
                </c:pt>
                <c:pt idx="300">
                  <c:v>0.66146361723389191</c:v>
                </c:pt>
                <c:pt idx="301">
                  <c:v>0.93974909209913982</c:v>
                </c:pt>
                <c:pt idx="302">
                  <c:v>0.79540641838941006</c:v>
                </c:pt>
                <c:pt idx="303">
                  <c:v>0.77288997281588134</c:v>
                </c:pt>
                <c:pt idx="304">
                  <c:v>0.90065789787135664</c:v>
                </c:pt>
                <c:pt idx="305">
                  <c:v>0.91598018500779688</c:v>
                </c:pt>
                <c:pt idx="306">
                  <c:v>1.0792620394064825</c:v>
                </c:pt>
                <c:pt idx="307">
                  <c:v>0.79171117586330997</c:v>
                </c:pt>
                <c:pt idx="308">
                  <c:v>0.92047354292369121</c:v>
                </c:pt>
                <c:pt idx="309">
                  <c:v>0.87251634751097562</c:v>
                </c:pt>
                <c:pt idx="310">
                  <c:v>0.68230516358089055</c:v>
                </c:pt>
                <c:pt idx="311">
                  <c:v>1.0093032642814936</c:v>
                </c:pt>
                <c:pt idx="312">
                  <c:v>0.82101094151637533</c:v>
                </c:pt>
                <c:pt idx="313">
                  <c:v>0.9838101217882107</c:v>
                </c:pt>
                <c:pt idx="314">
                  <c:v>0.93855515989504568</c:v>
                </c:pt>
                <c:pt idx="315">
                  <c:v>0.82857292717305597</c:v>
                </c:pt>
                <c:pt idx="316">
                  <c:v>0.81340067848979736</c:v>
                </c:pt>
                <c:pt idx="317">
                  <c:v>0.85074845465571514</c:v>
                </c:pt>
                <c:pt idx="318">
                  <c:v>0.82364863220308315</c:v>
                </c:pt>
                <c:pt idx="319">
                  <c:v>0.68290407823436006</c:v>
                </c:pt>
                <c:pt idx="320">
                  <c:v>0.95225380397970838</c:v>
                </c:pt>
                <c:pt idx="321">
                  <c:v>0.87059784157950748</c:v>
                </c:pt>
                <c:pt idx="322">
                  <c:v>0.59858341062429155</c:v>
                </c:pt>
                <c:pt idx="323">
                  <c:v>0.68733149255479375</c:v>
                </c:pt>
                <c:pt idx="324">
                  <c:v>1.0022822042818236</c:v>
                </c:pt>
                <c:pt idx="325">
                  <c:v>0.94075911162595638</c:v>
                </c:pt>
                <c:pt idx="326">
                  <c:v>0.8126716005704413</c:v>
                </c:pt>
                <c:pt idx="327">
                  <c:v>0.88750790961793413</c:v>
                </c:pt>
                <c:pt idx="328">
                  <c:v>0.81341093250693941</c:v>
                </c:pt>
                <c:pt idx="329">
                  <c:v>0.60770371465977568</c:v>
                </c:pt>
                <c:pt idx="330">
                  <c:v>0.7810819797542301</c:v>
                </c:pt>
                <c:pt idx="331">
                  <c:v>0.69695779504987421</c:v>
                </c:pt>
                <c:pt idx="332">
                  <c:v>0.89582794017460543</c:v>
                </c:pt>
                <c:pt idx="333">
                  <c:v>0.85025194593875586</c:v>
                </c:pt>
                <c:pt idx="334">
                  <c:v>0.88388760893735441</c:v>
                </c:pt>
                <c:pt idx="335">
                  <c:v>0.78792271045327222</c:v>
                </c:pt>
                <c:pt idx="336">
                  <c:v>1.0409676351163126</c:v>
                </c:pt>
                <c:pt idx="337">
                  <c:v>0.96942706989365668</c:v>
                </c:pt>
                <c:pt idx="338">
                  <c:v>0.86682169421282396</c:v>
                </c:pt>
                <c:pt idx="339">
                  <c:v>0.67080109315781922</c:v>
                </c:pt>
                <c:pt idx="340">
                  <c:v>0.76704047433820843</c:v>
                </c:pt>
                <c:pt idx="341">
                  <c:v>0.63478857608702022</c:v>
                </c:pt>
                <c:pt idx="342">
                  <c:v>1.1267305919009116</c:v>
                </c:pt>
                <c:pt idx="343">
                  <c:v>0.6859511991275884</c:v>
                </c:pt>
                <c:pt idx="344">
                  <c:v>0.78681497399849132</c:v>
                </c:pt>
                <c:pt idx="345">
                  <c:v>0.67233033310935042</c:v>
                </c:pt>
                <c:pt idx="346">
                  <c:v>0.98898110805644013</c:v>
                </c:pt>
                <c:pt idx="347">
                  <c:v>1.0275723156410868</c:v>
                </c:pt>
                <c:pt idx="348">
                  <c:v>0.99004802738338604</c:v>
                </c:pt>
                <c:pt idx="349">
                  <c:v>0.88032697149819938</c:v>
                </c:pt>
                <c:pt idx="350">
                  <c:v>0.62423406968845541</c:v>
                </c:pt>
                <c:pt idx="351">
                  <c:v>0.98622424582660262</c:v>
                </c:pt>
                <c:pt idx="352">
                  <c:v>0.88613278518177729</c:v>
                </c:pt>
                <c:pt idx="353">
                  <c:v>0.76475250357895508</c:v>
                </c:pt>
                <c:pt idx="354">
                  <c:v>0.81755877981635194</c:v>
                </c:pt>
                <c:pt idx="355">
                  <c:v>0.74010097287467147</c:v>
                </c:pt>
                <c:pt idx="356">
                  <c:v>0.82067444863056949</c:v>
                </c:pt>
                <c:pt idx="357">
                  <c:v>0.99568025209354083</c:v>
                </c:pt>
                <c:pt idx="358">
                  <c:v>0.85731433520235711</c:v>
                </c:pt>
                <c:pt idx="359">
                  <c:v>0.96120029307058452</c:v>
                </c:pt>
                <c:pt idx="360">
                  <c:v>0.84077449321275388</c:v>
                </c:pt>
                <c:pt idx="361">
                  <c:v>0.76415201800030097</c:v>
                </c:pt>
                <c:pt idx="362">
                  <c:v>0.81049693171894344</c:v>
                </c:pt>
                <c:pt idx="363">
                  <c:v>0.91838600548256899</c:v>
                </c:pt>
                <c:pt idx="364">
                  <c:v>0.77174021149239103</c:v>
                </c:pt>
                <c:pt idx="365">
                  <c:v>0.60855242909047469</c:v>
                </c:pt>
                <c:pt idx="366">
                  <c:v>0.56854746005909185</c:v>
                </c:pt>
                <c:pt idx="367">
                  <c:v>1.0143915523438887</c:v>
                </c:pt>
                <c:pt idx="368">
                  <c:v>0.98217272852789517</c:v>
                </c:pt>
                <c:pt idx="369">
                  <c:v>0.98489002124427749</c:v>
                </c:pt>
                <c:pt idx="370">
                  <c:v>1.0778846728260101</c:v>
                </c:pt>
                <c:pt idx="371">
                  <c:v>0.90518273281585948</c:v>
                </c:pt>
                <c:pt idx="372">
                  <c:v>0.85398599248523155</c:v>
                </c:pt>
                <c:pt idx="373">
                  <c:v>0.90469031210414741</c:v>
                </c:pt>
                <c:pt idx="374">
                  <c:v>0.79095563863782914</c:v>
                </c:pt>
                <c:pt idx="375">
                  <c:v>1.1725123088799938</c:v>
                </c:pt>
                <c:pt idx="376">
                  <c:v>0.76531040212028856</c:v>
                </c:pt>
                <c:pt idx="377">
                  <c:v>0.78923778391687804</c:v>
                </c:pt>
                <c:pt idx="378">
                  <c:v>0.36938284746030448</c:v>
                </c:pt>
                <c:pt idx="379">
                  <c:v>0.70841037217181491</c:v>
                </c:pt>
                <c:pt idx="380">
                  <c:v>1.0327003150412226</c:v>
                </c:pt>
                <c:pt idx="381">
                  <c:v>0.77972388315737717</c:v>
                </c:pt>
                <c:pt idx="382">
                  <c:v>1.0154494418153224</c:v>
                </c:pt>
                <c:pt idx="383">
                  <c:v>0.98519445833576214</c:v>
                </c:pt>
                <c:pt idx="384">
                  <c:v>0.78626813892071201</c:v>
                </c:pt>
                <c:pt idx="385">
                  <c:v>0.76984460386931985</c:v>
                </c:pt>
                <c:pt idx="386">
                  <c:v>0.94526730814798299</c:v>
                </c:pt>
                <c:pt idx="387">
                  <c:v>0.96888243937115348</c:v>
                </c:pt>
                <c:pt idx="388">
                  <c:v>0.86201727756897029</c:v>
                </c:pt>
                <c:pt idx="389">
                  <c:v>0.88104417933933465</c:v>
                </c:pt>
                <c:pt idx="390">
                  <c:v>0.70301681788297188</c:v>
                </c:pt>
                <c:pt idx="391">
                  <c:v>0.73496450332393515</c:v>
                </c:pt>
                <c:pt idx="392">
                  <c:v>0.9154775069849741</c:v>
                </c:pt>
                <c:pt idx="393">
                  <c:v>0.55470618880040412</c:v>
                </c:pt>
                <c:pt idx="394">
                  <c:v>0.78742697737775913</c:v>
                </c:pt>
                <c:pt idx="395">
                  <c:v>0.83639761199937013</c:v>
                </c:pt>
                <c:pt idx="396">
                  <c:v>1.1335421173486999</c:v>
                </c:pt>
                <c:pt idx="397">
                  <c:v>0.67108767968927197</c:v>
                </c:pt>
                <c:pt idx="398">
                  <c:v>0.90455257430587999</c:v>
                </c:pt>
                <c:pt idx="399">
                  <c:v>0.84028866882701791</c:v>
                </c:pt>
                <c:pt idx="400">
                  <c:v>0.72205219000749743</c:v>
                </c:pt>
                <c:pt idx="401">
                  <c:v>0.99073558221932334</c:v>
                </c:pt>
                <c:pt idx="402">
                  <c:v>0.89519261659765359</c:v>
                </c:pt>
                <c:pt idx="403">
                  <c:v>0.8647598856086347</c:v>
                </c:pt>
                <c:pt idx="404">
                  <c:v>0.6391529225181305</c:v>
                </c:pt>
                <c:pt idx="405">
                  <c:v>0.89196413562251919</c:v>
                </c:pt>
                <c:pt idx="406">
                  <c:v>0.915686611262716</c:v>
                </c:pt>
                <c:pt idx="407">
                  <c:v>0.93672324217283265</c:v>
                </c:pt>
                <c:pt idx="408">
                  <c:v>0.8313203244316183</c:v>
                </c:pt>
                <c:pt idx="409">
                  <c:v>0.77992369611145129</c:v>
                </c:pt>
                <c:pt idx="410">
                  <c:v>0.88018538947673797</c:v>
                </c:pt>
                <c:pt idx="411">
                  <c:v>0.7564169791062314</c:v>
                </c:pt>
                <c:pt idx="412">
                  <c:v>0.93809065753505649</c:v>
                </c:pt>
                <c:pt idx="413">
                  <c:v>0.67843473411791066</c:v>
                </c:pt>
                <c:pt idx="414">
                  <c:v>0.72066962500470844</c:v>
                </c:pt>
                <c:pt idx="415">
                  <c:v>0.68688938340546279</c:v>
                </c:pt>
                <c:pt idx="416">
                  <c:v>0.64084984116522037</c:v>
                </c:pt>
                <c:pt idx="417">
                  <c:v>0.73103858237104724</c:v>
                </c:pt>
                <c:pt idx="418">
                  <c:v>0.94317320559457407</c:v>
                </c:pt>
                <c:pt idx="419">
                  <c:v>0.73675065328954048</c:v>
                </c:pt>
                <c:pt idx="420">
                  <c:v>0.67432354535226668</c:v>
                </c:pt>
                <c:pt idx="421">
                  <c:v>0.91058115223110736</c:v>
                </c:pt>
                <c:pt idx="422">
                  <c:v>0.88242875197162896</c:v>
                </c:pt>
                <c:pt idx="423">
                  <c:v>1.1287931180006892</c:v>
                </c:pt>
                <c:pt idx="424">
                  <c:v>0.84403103917681221</c:v>
                </c:pt>
                <c:pt idx="425">
                  <c:v>0.81793318946393523</c:v>
                </c:pt>
                <c:pt idx="426">
                  <c:v>0.91559724063514469</c:v>
                </c:pt>
                <c:pt idx="427">
                  <c:v>0.82303906430774454</c:v>
                </c:pt>
                <c:pt idx="428">
                  <c:v>1.0440344580573671</c:v>
                </c:pt>
                <c:pt idx="429">
                  <c:v>0.86008114815726699</c:v>
                </c:pt>
                <c:pt idx="430">
                  <c:v>0.81731248358329811</c:v>
                </c:pt>
                <c:pt idx="431">
                  <c:v>0.71049100973887036</c:v>
                </c:pt>
                <c:pt idx="432">
                  <c:v>0.96382196219657601</c:v>
                </c:pt>
                <c:pt idx="433">
                  <c:v>0.73056355606619849</c:v>
                </c:pt>
                <c:pt idx="434">
                  <c:v>0.97055905916076934</c:v>
                </c:pt>
                <c:pt idx="435">
                  <c:v>0.67569772186210919</c:v>
                </c:pt>
                <c:pt idx="436">
                  <c:v>0.70063716838535939</c:v>
                </c:pt>
                <c:pt idx="437">
                  <c:v>1.0366573965527923</c:v>
                </c:pt>
                <c:pt idx="438">
                  <c:v>0.97796886734136557</c:v>
                </c:pt>
                <c:pt idx="439">
                  <c:v>0.99990833727243178</c:v>
                </c:pt>
                <c:pt idx="440">
                  <c:v>0.8851023492350425</c:v>
                </c:pt>
                <c:pt idx="441">
                  <c:v>0.87301275639419895</c:v>
                </c:pt>
                <c:pt idx="442">
                  <c:v>0.78465728587984884</c:v>
                </c:pt>
                <c:pt idx="443">
                  <c:v>1.006035142860326</c:v>
                </c:pt>
                <c:pt idx="444">
                  <c:v>0.76906736486918525</c:v>
                </c:pt>
                <c:pt idx="445">
                  <c:v>0.60099765646536429</c:v>
                </c:pt>
                <c:pt idx="446">
                  <c:v>0.76468055058516882</c:v>
                </c:pt>
                <c:pt idx="447">
                  <c:v>1.0030846178251069</c:v>
                </c:pt>
                <c:pt idx="448">
                  <c:v>0.99424976595996917</c:v>
                </c:pt>
                <c:pt idx="449">
                  <c:v>1.1759134894168826</c:v>
                </c:pt>
                <c:pt idx="450">
                  <c:v>0.78311418907134467</c:v>
                </c:pt>
                <c:pt idx="451">
                  <c:v>1.0659647208517375</c:v>
                </c:pt>
                <c:pt idx="452">
                  <c:v>0.64899998748730603</c:v>
                </c:pt>
                <c:pt idx="453">
                  <c:v>0.69080117795749274</c:v>
                </c:pt>
                <c:pt idx="454">
                  <c:v>0.73444867194779828</c:v>
                </c:pt>
                <c:pt idx="455">
                  <c:v>0.75704782889061484</c:v>
                </c:pt>
                <c:pt idx="456">
                  <c:v>0.64671732652978164</c:v>
                </c:pt>
                <c:pt idx="457">
                  <c:v>1.173922326285628</c:v>
                </c:pt>
                <c:pt idx="458">
                  <c:v>1.1765675178957791</c:v>
                </c:pt>
                <c:pt idx="459">
                  <c:v>0.67198643124608104</c:v>
                </c:pt>
                <c:pt idx="460">
                  <c:v>1.097031046069584</c:v>
                </c:pt>
                <c:pt idx="461">
                  <c:v>0.69407595782874232</c:v>
                </c:pt>
                <c:pt idx="462">
                  <c:v>0.78831569125864753</c:v>
                </c:pt>
                <c:pt idx="463">
                  <c:v>0.74439061521321914</c:v>
                </c:pt>
                <c:pt idx="464">
                  <c:v>1.0730137788024772</c:v>
                </c:pt>
                <c:pt idx="465">
                  <c:v>0.79002395238648049</c:v>
                </c:pt>
                <c:pt idx="466">
                  <c:v>0.84354122308759472</c:v>
                </c:pt>
                <c:pt idx="467">
                  <c:v>0.86584119764843592</c:v>
                </c:pt>
                <c:pt idx="468">
                  <c:v>0.59328900020888398</c:v>
                </c:pt>
                <c:pt idx="469">
                  <c:v>0.88865762207417909</c:v>
                </c:pt>
                <c:pt idx="470">
                  <c:v>0.77663361371936901</c:v>
                </c:pt>
                <c:pt idx="471">
                  <c:v>1.2699536201747659</c:v>
                </c:pt>
                <c:pt idx="472">
                  <c:v>0.85781838555201162</c:v>
                </c:pt>
                <c:pt idx="473">
                  <c:v>0.62957731824079488</c:v>
                </c:pt>
                <c:pt idx="474">
                  <c:v>0.80588365708976628</c:v>
                </c:pt>
                <c:pt idx="475">
                  <c:v>0.77051933155054009</c:v>
                </c:pt>
                <c:pt idx="476">
                  <c:v>0.97152265216224443</c:v>
                </c:pt>
                <c:pt idx="477">
                  <c:v>0.78856466120145896</c:v>
                </c:pt>
                <c:pt idx="478">
                  <c:v>1.1322681977016842</c:v>
                </c:pt>
                <c:pt idx="479">
                  <c:v>0.83226183833904344</c:v>
                </c:pt>
                <c:pt idx="480">
                  <c:v>0.72121986279535388</c:v>
                </c:pt>
                <c:pt idx="481">
                  <c:v>1.0027375798100273</c:v>
                </c:pt>
                <c:pt idx="482">
                  <c:v>0.70195170470884172</c:v>
                </c:pt>
                <c:pt idx="483">
                  <c:v>0.67199055093246862</c:v>
                </c:pt>
                <c:pt idx="484">
                  <c:v>0.80352712798786463</c:v>
                </c:pt>
                <c:pt idx="485">
                  <c:v>1.1440814824500514</c:v>
                </c:pt>
                <c:pt idx="486">
                  <c:v>0.91541313263409485</c:v>
                </c:pt>
                <c:pt idx="487">
                  <c:v>0.77647157928795618</c:v>
                </c:pt>
                <c:pt idx="488">
                  <c:v>0.93198789222956346</c:v>
                </c:pt>
                <c:pt idx="489">
                  <c:v>0.90897231449059657</c:v>
                </c:pt>
                <c:pt idx="490">
                  <c:v>0.78926352170981673</c:v>
                </c:pt>
                <c:pt idx="491">
                  <c:v>0.7807471426784689</c:v>
                </c:pt>
                <c:pt idx="492">
                  <c:v>0.9122701157007036</c:v>
                </c:pt>
                <c:pt idx="493">
                  <c:v>0.75644290154325144</c:v>
                </c:pt>
                <c:pt idx="494">
                  <c:v>1.3162896143385732</c:v>
                </c:pt>
                <c:pt idx="495">
                  <c:v>0.90837084812378954</c:v>
                </c:pt>
                <c:pt idx="496">
                  <c:v>0.91775462917991479</c:v>
                </c:pt>
                <c:pt idx="497">
                  <c:v>0.74828256965465378</c:v>
                </c:pt>
                <c:pt idx="498">
                  <c:v>1.2799692339912614</c:v>
                </c:pt>
                <c:pt idx="499">
                  <c:v>0.7929409930052298</c:v>
                </c:pt>
                <c:pt idx="500">
                  <c:v>0.9498980327218387</c:v>
                </c:pt>
                <c:pt idx="501">
                  <c:v>0.96024428180154686</c:v>
                </c:pt>
                <c:pt idx="502">
                  <c:v>1.0143830607439481</c:v>
                </c:pt>
                <c:pt idx="503">
                  <c:v>0.66518604245521029</c:v>
                </c:pt>
                <c:pt idx="504">
                  <c:v>0.96084952854801831</c:v>
                </c:pt>
                <c:pt idx="505">
                  <c:v>0.99788514482383306</c:v>
                </c:pt>
                <c:pt idx="506">
                  <c:v>0.67036170904684589</c:v>
                </c:pt>
                <c:pt idx="507">
                  <c:v>0.91103003293601326</c:v>
                </c:pt>
                <c:pt idx="508">
                  <c:v>0.8423164703744197</c:v>
                </c:pt>
                <c:pt idx="509">
                  <c:v>0.8458222686337038</c:v>
                </c:pt>
                <c:pt idx="510">
                  <c:v>0.66516878373745314</c:v>
                </c:pt>
                <c:pt idx="511">
                  <c:v>1.0178166720507553</c:v>
                </c:pt>
                <c:pt idx="512">
                  <c:v>0.83073905713172991</c:v>
                </c:pt>
                <c:pt idx="513">
                  <c:v>1.0625650205226567</c:v>
                </c:pt>
                <c:pt idx="514">
                  <c:v>0.80056614212928423</c:v>
                </c:pt>
                <c:pt idx="515">
                  <c:v>0.66154246011009832</c:v>
                </c:pt>
                <c:pt idx="516">
                  <c:v>0.66932055813438751</c:v>
                </c:pt>
                <c:pt idx="517">
                  <c:v>1.0146254065744813</c:v>
                </c:pt>
                <c:pt idx="518">
                  <c:v>0.70348705914140197</c:v>
                </c:pt>
                <c:pt idx="519">
                  <c:v>0.9151752446272825</c:v>
                </c:pt>
                <c:pt idx="520">
                  <c:v>0.71313068404044166</c:v>
                </c:pt>
                <c:pt idx="521">
                  <c:v>0.95821504879001207</c:v>
                </c:pt>
                <c:pt idx="522">
                  <c:v>0.87882913008038166</c:v>
                </c:pt>
                <c:pt idx="523">
                  <c:v>0.67576080281054729</c:v>
                </c:pt>
                <c:pt idx="524">
                  <c:v>0.71429655822801674</c:v>
                </c:pt>
                <c:pt idx="525">
                  <c:v>0.76558172969085714</c:v>
                </c:pt>
                <c:pt idx="526">
                  <c:v>0.9105134609359915</c:v>
                </c:pt>
                <c:pt idx="527">
                  <c:v>0.84437598147501092</c:v>
                </c:pt>
                <c:pt idx="528">
                  <c:v>0.78644366847091973</c:v>
                </c:pt>
                <c:pt idx="529">
                  <c:v>0.99243821288497092</c:v>
                </c:pt>
                <c:pt idx="530">
                  <c:v>0.88890734161977303</c:v>
                </c:pt>
                <c:pt idx="531">
                  <c:v>0.95730751359495869</c:v>
                </c:pt>
                <c:pt idx="532">
                  <c:v>1.0121132372287525</c:v>
                </c:pt>
                <c:pt idx="533">
                  <c:v>1.0682221550600435</c:v>
                </c:pt>
                <c:pt idx="534">
                  <c:v>0.86476742698886078</c:v>
                </c:pt>
                <c:pt idx="535">
                  <c:v>0.75310130126747232</c:v>
                </c:pt>
                <c:pt idx="536">
                  <c:v>0.66332259926334469</c:v>
                </c:pt>
                <c:pt idx="537">
                  <c:v>0.82376088589453111</c:v>
                </c:pt>
                <c:pt idx="538">
                  <c:v>0.65194730147509539</c:v>
                </c:pt>
                <c:pt idx="539">
                  <c:v>0.98258842190793771</c:v>
                </c:pt>
                <c:pt idx="540">
                  <c:v>1.056731234332549</c:v>
                </c:pt>
                <c:pt idx="541">
                  <c:v>1.0195296422925288</c:v>
                </c:pt>
                <c:pt idx="542">
                  <c:v>0.7229326383851431</c:v>
                </c:pt>
                <c:pt idx="543">
                  <c:v>0.82550451012841641</c:v>
                </c:pt>
                <c:pt idx="544">
                  <c:v>0.76640274395141539</c:v>
                </c:pt>
                <c:pt idx="545">
                  <c:v>0.74937659737893192</c:v>
                </c:pt>
                <c:pt idx="546">
                  <c:v>1.178590699448506</c:v>
                </c:pt>
                <c:pt idx="547">
                  <c:v>0.68729044221815805</c:v>
                </c:pt>
                <c:pt idx="548">
                  <c:v>0.91784904732570638</c:v>
                </c:pt>
                <c:pt idx="549">
                  <c:v>0.85074517688553541</c:v>
                </c:pt>
                <c:pt idx="550">
                  <c:v>0.85950275717577185</c:v>
                </c:pt>
                <c:pt idx="551">
                  <c:v>0.73418629193617946</c:v>
                </c:pt>
                <c:pt idx="552">
                  <c:v>1.1305002391254186</c:v>
                </c:pt>
                <c:pt idx="553">
                  <c:v>0.97097087069972332</c:v>
                </c:pt>
                <c:pt idx="554">
                  <c:v>0.82568274363405791</c:v>
                </c:pt>
                <c:pt idx="555">
                  <c:v>0.7344171318726378</c:v>
                </c:pt>
                <c:pt idx="556">
                  <c:v>0.64689639551477818</c:v>
                </c:pt>
                <c:pt idx="557">
                  <c:v>0.63861061203822622</c:v>
                </c:pt>
                <c:pt idx="558">
                  <c:v>0.56190578467816188</c:v>
                </c:pt>
                <c:pt idx="559">
                  <c:v>0.85086849791526564</c:v>
                </c:pt>
                <c:pt idx="560">
                  <c:v>1.0970931520784974</c:v>
                </c:pt>
                <c:pt idx="561">
                  <c:v>0.88990340312045113</c:v>
                </c:pt>
                <c:pt idx="562">
                  <c:v>0.75145513097444905</c:v>
                </c:pt>
                <c:pt idx="563">
                  <c:v>0.98101858502859329</c:v>
                </c:pt>
                <c:pt idx="564">
                  <c:v>0.77786939193453541</c:v>
                </c:pt>
                <c:pt idx="565">
                  <c:v>0.51058709296471605</c:v>
                </c:pt>
                <c:pt idx="566">
                  <c:v>0.77422847761741664</c:v>
                </c:pt>
                <c:pt idx="567">
                  <c:v>0.90349695229523874</c:v>
                </c:pt>
                <c:pt idx="568">
                  <c:v>0.73778879301818723</c:v>
                </c:pt>
                <c:pt idx="569">
                  <c:v>1.2162070131655529</c:v>
                </c:pt>
                <c:pt idx="570">
                  <c:v>0.6740807668470481</c:v>
                </c:pt>
                <c:pt idx="571">
                  <c:v>0.80422992535079452</c:v>
                </c:pt>
                <c:pt idx="572">
                  <c:v>0.85540530419341998</c:v>
                </c:pt>
                <c:pt idx="573">
                  <c:v>0.9315354008634511</c:v>
                </c:pt>
                <c:pt idx="574">
                  <c:v>0.79564221916507094</c:v>
                </c:pt>
                <c:pt idx="575">
                  <c:v>0.84750458911499749</c:v>
                </c:pt>
                <c:pt idx="576">
                  <c:v>0.75950765255332975</c:v>
                </c:pt>
                <c:pt idx="577">
                  <c:v>1.1659220867748834</c:v>
                </c:pt>
                <c:pt idx="578">
                  <c:v>0.70139839569276319</c:v>
                </c:pt>
                <c:pt idx="579">
                  <c:v>0.89230716776935992</c:v>
                </c:pt>
                <c:pt idx="580">
                  <c:v>0.81615056771756933</c:v>
                </c:pt>
                <c:pt idx="581">
                  <c:v>0.8248092900663071</c:v>
                </c:pt>
                <c:pt idx="582">
                  <c:v>0.84754898093090247</c:v>
                </c:pt>
                <c:pt idx="583">
                  <c:v>0.80484114148864538</c:v>
                </c:pt>
                <c:pt idx="584">
                  <c:v>1.0593927950957651</c:v>
                </c:pt>
                <c:pt idx="585">
                  <c:v>0.88217624655389137</c:v>
                </c:pt>
                <c:pt idx="586">
                  <c:v>0.95487368894501312</c:v>
                </c:pt>
                <c:pt idx="587">
                  <c:v>0.88196953992363003</c:v>
                </c:pt>
                <c:pt idx="588">
                  <c:v>1.0284715978814827</c:v>
                </c:pt>
                <c:pt idx="589">
                  <c:v>0.9906486187389314</c:v>
                </c:pt>
                <c:pt idx="590">
                  <c:v>1.0597765151746747</c:v>
                </c:pt>
                <c:pt idx="591">
                  <c:v>0.62686757321788278</c:v>
                </c:pt>
                <c:pt idx="592">
                  <c:v>0.96771924921861086</c:v>
                </c:pt>
                <c:pt idx="593">
                  <c:v>1.2135212440334637</c:v>
                </c:pt>
                <c:pt idx="594">
                  <c:v>0.73910017804548112</c:v>
                </c:pt>
                <c:pt idx="595">
                  <c:v>0.63592036136201013</c:v>
                </c:pt>
                <c:pt idx="596">
                  <c:v>0.49784443659122424</c:v>
                </c:pt>
                <c:pt idx="597">
                  <c:v>0.77610753518799847</c:v>
                </c:pt>
                <c:pt idx="598">
                  <c:v>0.72636091787564094</c:v>
                </c:pt>
                <c:pt idx="599">
                  <c:v>0.76909212647715997</c:v>
                </c:pt>
                <c:pt idx="600">
                  <c:v>0.95780887752202659</c:v>
                </c:pt>
                <c:pt idx="601">
                  <c:v>0.74452364000389792</c:v>
                </c:pt>
                <c:pt idx="602">
                  <c:v>1.0544206350114544</c:v>
                </c:pt>
                <c:pt idx="603">
                  <c:v>0.824221753127512</c:v>
                </c:pt>
                <c:pt idx="604">
                  <c:v>0.75051318838959613</c:v>
                </c:pt>
                <c:pt idx="605">
                  <c:v>0.54306994232969075</c:v>
                </c:pt>
                <c:pt idx="606">
                  <c:v>1.0082000175313315</c:v>
                </c:pt>
                <c:pt idx="607">
                  <c:v>0.99650452967618008</c:v>
                </c:pt>
                <c:pt idx="608">
                  <c:v>0.78631234306444941</c:v>
                </c:pt>
                <c:pt idx="609">
                  <c:v>0.87678837924339348</c:v>
                </c:pt>
                <c:pt idx="610">
                  <c:v>0.8870920154457913</c:v>
                </c:pt>
                <c:pt idx="611">
                  <c:v>0.90820477994309279</c:v>
                </c:pt>
                <c:pt idx="612">
                  <c:v>0.86535108410405215</c:v>
                </c:pt>
                <c:pt idx="613">
                  <c:v>0.90307162833105892</c:v>
                </c:pt>
                <c:pt idx="614">
                  <c:v>0.829326543818933</c:v>
                </c:pt>
                <c:pt idx="615">
                  <c:v>0.93090120050170899</c:v>
                </c:pt>
                <c:pt idx="616">
                  <c:v>0.8770147874296006</c:v>
                </c:pt>
                <c:pt idx="617">
                  <c:v>0.69289489412166283</c:v>
                </c:pt>
                <c:pt idx="618">
                  <c:v>0.61910562343086184</c:v>
                </c:pt>
                <c:pt idx="619">
                  <c:v>0.71125481153918546</c:v>
                </c:pt>
                <c:pt idx="620">
                  <c:v>1.1037406373724483</c:v>
                </c:pt>
                <c:pt idx="621">
                  <c:v>1.1054106602801212</c:v>
                </c:pt>
                <c:pt idx="622">
                  <c:v>0.73629335406153373</c:v>
                </c:pt>
                <c:pt idx="623">
                  <c:v>0.76796044381961082</c:v>
                </c:pt>
                <c:pt idx="624">
                  <c:v>0.88150079951666349</c:v>
                </c:pt>
                <c:pt idx="625">
                  <c:v>0.90419938134606248</c:v>
                </c:pt>
                <c:pt idx="626">
                  <c:v>0.72886832306909533</c:v>
                </c:pt>
                <c:pt idx="627">
                  <c:v>0.79564644326610079</c:v>
                </c:pt>
                <c:pt idx="628">
                  <c:v>0.88723658968636077</c:v>
                </c:pt>
                <c:pt idx="629">
                  <c:v>0.8052051936223581</c:v>
                </c:pt>
                <c:pt idx="630">
                  <c:v>0.6464083005486021</c:v>
                </c:pt>
                <c:pt idx="631">
                  <c:v>1.0358564918453519</c:v>
                </c:pt>
                <c:pt idx="632">
                  <c:v>1.1553394476462415</c:v>
                </c:pt>
                <c:pt idx="633">
                  <c:v>0.91105517273685166</c:v>
                </c:pt>
                <c:pt idx="634">
                  <c:v>0.74069108510605197</c:v>
                </c:pt>
                <c:pt idx="635">
                  <c:v>0.85772116445009416</c:v>
                </c:pt>
                <c:pt idx="636">
                  <c:v>0.87644438367106581</c:v>
                </c:pt>
                <c:pt idx="637">
                  <c:v>0.93383307251989667</c:v>
                </c:pt>
                <c:pt idx="638">
                  <c:v>0.85870979231396039</c:v>
                </c:pt>
                <c:pt idx="639">
                  <c:v>0.7189115506698851</c:v>
                </c:pt>
                <c:pt idx="640">
                  <c:v>0.7848639159591837</c:v>
                </c:pt>
                <c:pt idx="641">
                  <c:v>0.91978195458487821</c:v>
                </c:pt>
                <c:pt idx="642">
                  <c:v>0.73339764157067933</c:v>
                </c:pt>
                <c:pt idx="643">
                  <c:v>0.64578507003200158</c:v>
                </c:pt>
                <c:pt idx="644">
                  <c:v>0.91169596339673564</c:v>
                </c:pt>
                <c:pt idx="645">
                  <c:v>0.64272462144240983</c:v>
                </c:pt>
                <c:pt idx="646">
                  <c:v>0.70442546817651674</c:v>
                </c:pt>
                <c:pt idx="647">
                  <c:v>0.62244260646131622</c:v>
                </c:pt>
                <c:pt idx="648">
                  <c:v>0.69285757753152133</c:v>
                </c:pt>
                <c:pt idx="649">
                  <c:v>0.8192521731553839</c:v>
                </c:pt>
                <c:pt idx="650">
                  <c:v>0.92018643008155276</c:v>
                </c:pt>
                <c:pt idx="651">
                  <c:v>0.91272737038343976</c:v>
                </c:pt>
                <c:pt idx="652">
                  <c:v>0.75663955162418084</c:v>
                </c:pt>
                <c:pt idx="653">
                  <c:v>1.1808676321735261</c:v>
                </c:pt>
                <c:pt idx="654">
                  <c:v>1.0056745541153616</c:v>
                </c:pt>
                <c:pt idx="655">
                  <c:v>0.63131711329923412</c:v>
                </c:pt>
                <c:pt idx="656">
                  <c:v>0.90499690307776337</c:v>
                </c:pt>
                <c:pt idx="657">
                  <c:v>1.0371414063041975</c:v>
                </c:pt>
                <c:pt idx="658">
                  <c:v>0.90074914513824922</c:v>
                </c:pt>
                <c:pt idx="659">
                  <c:v>0.8048908781691182</c:v>
                </c:pt>
                <c:pt idx="660">
                  <c:v>0.66629121814892045</c:v>
                </c:pt>
                <c:pt idx="661">
                  <c:v>1.0477585223123809</c:v>
                </c:pt>
                <c:pt idx="662">
                  <c:v>0.96268718056147762</c:v>
                </c:pt>
                <c:pt idx="663">
                  <c:v>1.0920079507241836</c:v>
                </c:pt>
                <c:pt idx="664">
                  <c:v>0.96321661338815634</c:v>
                </c:pt>
                <c:pt idx="665">
                  <c:v>0.84825703200984393</c:v>
                </c:pt>
                <c:pt idx="666">
                  <c:v>0.9286956030205813</c:v>
                </c:pt>
                <c:pt idx="667">
                  <c:v>0.96836202517459569</c:v>
                </c:pt>
                <c:pt idx="668">
                  <c:v>0.92577280325511246</c:v>
                </c:pt>
                <c:pt idx="669">
                  <c:v>0.77509734207742564</c:v>
                </c:pt>
                <c:pt idx="670">
                  <c:v>0.86859956891326995</c:v>
                </c:pt>
                <c:pt idx="671">
                  <c:v>0.58286609464506522</c:v>
                </c:pt>
                <c:pt idx="672">
                  <c:v>1.2103261275412303</c:v>
                </c:pt>
                <c:pt idx="673">
                  <c:v>1.0968170458957918</c:v>
                </c:pt>
                <c:pt idx="674">
                  <c:v>1.0694730521877833</c:v>
                </c:pt>
                <c:pt idx="675">
                  <c:v>0.90978921099674182</c:v>
                </c:pt>
                <c:pt idx="676">
                  <c:v>0.80266859009990021</c:v>
                </c:pt>
                <c:pt idx="677">
                  <c:v>0.82538053526039867</c:v>
                </c:pt>
                <c:pt idx="678">
                  <c:v>0.65375503219129349</c:v>
                </c:pt>
                <c:pt idx="679">
                  <c:v>0.80818852098835325</c:v>
                </c:pt>
                <c:pt idx="680">
                  <c:v>0.77056367958261518</c:v>
                </c:pt>
                <c:pt idx="681">
                  <c:v>0.61795171924785208</c:v>
                </c:pt>
                <c:pt idx="682">
                  <c:v>0.92963016480939853</c:v>
                </c:pt>
                <c:pt idx="683">
                  <c:v>0.60784056104054685</c:v>
                </c:pt>
                <c:pt idx="684">
                  <c:v>0.75875231338977933</c:v>
                </c:pt>
                <c:pt idx="685">
                  <c:v>0.97374373282439919</c:v>
                </c:pt>
                <c:pt idx="686">
                  <c:v>0.87331961604358099</c:v>
                </c:pt>
                <c:pt idx="687">
                  <c:v>0.80564273249558305</c:v>
                </c:pt>
                <c:pt idx="688">
                  <c:v>0.80190429254588036</c:v>
                </c:pt>
                <c:pt idx="689">
                  <c:v>0.75063422381158507</c:v>
                </c:pt>
                <c:pt idx="690">
                  <c:v>0.71453423096465762</c:v>
                </c:pt>
                <c:pt idx="691">
                  <c:v>0.7398517841693586</c:v>
                </c:pt>
                <c:pt idx="692">
                  <c:v>0.7771055473042825</c:v>
                </c:pt>
                <c:pt idx="693">
                  <c:v>0.70179119117805655</c:v>
                </c:pt>
                <c:pt idx="694">
                  <c:v>0.87779068211335165</c:v>
                </c:pt>
                <c:pt idx="695">
                  <c:v>0.73479745881162195</c:v>
                </c:pt>
                <c:pt idx="696">
                  <c:v>1.1307500174729617</c:v>
                </c:pt>
                <c:pt idx="697">
                  <c:v>0.69237335923236376</c:v>
                </c:pt>
                <c:pt idx="698">
                  <c:v>0.78170767440696132</c:v>
                </c:pt>
                <c:pt idx="699">
                  <c:v>0.80062254166033142</c:v>
                </c:pt>
                <c:pt idx="700">
                  <c:v>0.73872975441517585</c:v>
                </c:pt>
                <c:pt idx="701">
                  <c:v>0.73081083932832858</c:v>
                </c:pt>
                <c:pt idx="702">
                  <c:v>0.62956439771453088</c:v>
                </c:pt>
                <c:pt idx="703">
                  <c:v>0.96581195219812876</c:v>
                </c:pt>
                <c:pt idx="704">
                  <c:v>0.84350588946459659</c:v>
                </c:pt>
                <c:pt idx="705">
                  <c:v>0.60806479365858657</c:v>
                </c:pt>
                <c:pt idx="706">
                  <c:v>1.1871860899135767</c:v>
                </c:pt>
                <c:pt idx="707">
                  <c:v>0.54403758789896273</c:v>
                </c:pt>
                <c:pt idx="708">
                  <c:v>0.741941113301813</c:v>
                </c:pt>
                <c:pt idx="709">
                  <c:v>0.82503782258215885</c:v>
                </c:pt>
                <c:pt idx="710">
                  <c:v>0.78927319235697269</c:v>
                </c:pt>
                <c:pt idx="711">
                  <c:v>0.86491026628831058</c:v>
                </c:pt>
                <c:pt idx="712">
                  <c:v>0.68743047701504878</c:v>
                </c:pt>
                <c:pt idx="713">
                  <c:v>0.64394567567145433</c:v>
                </c:pt>
                <c:pt idx="714">
                  <c:v>0.78856889576035982</c:v>
                </c:pt>
                <c:pt idx="715">
                  <c:v>0.92303608644527291</c:v>
                </c:pt>
                <c:pt idx="716">
                  <c:v>0.9334992159994453</c:v>
                </c:pt>
                <c:pt idx="717">
                  <c:v>0.84888609889803313</c:v>
                </c:pt>
                <c:pt idx="718">
                  <c:v>0.90441674486670287</c:v>
                </c:pt>
                <c:pt idx="719">
                  <c:v>0.91733065385164103</c:v>
                </c:pt>
                <c:pt idx="720">
                  <c:v>0.92176853224482702</c:v>
                </c:pt>
                <c:pt idx="721">
                  <c:v>0.93619871987097181</c:v>
                </c:pt>
                <c:pt idx="722">
                  <c:v>0.98431383344601731</c:v>
                </c:pt>
                <c:pt idx="723">
                  <c:v>1.086489499943502</c:v>
                </c:pt>
                <c:pt idx="724">
                  <c:v>0.86296185153239513</c:v>
                </c:pt>
                <c:pt idx="725">
                  <c:v>0.79910356386077375</c:v>
                </c:pt>
                <c:pt idx="726">
                  <c:v>0.8778853383789551</c:v>
                </c:pt>
                <c:pt idx="727">
                  <c:v>1.0054633266843807</c:v>
                </c:pt>
                <c:pt idx="728">
                  <c:v>0.69990606688154777</c:v>
                </c:pt>
                <c:pt idx="729">
                  <c:v>0.63763574507593823</c:v>
                </c:pt>
                <c:pt idx="730">
                  <c:v>0.69769912334031936</c:v>
                </c:pt>
                <c:pt idx="731">
                  <c:v>0.75326946890779123</c:v>
                </c:pt>
                <c:pt idx="732">
                  <c:v>0.56114933311946835</c:v>
                </c:pt>
                <c:pt idx="733">
                  <c:v>0.97724894639965054</c:v>
                </c:pt>
                <c:pt idx="734">
                  <c:v>0.80430281235569456</c:v>
                </c:pt>
                <c:pt idx="735">
                  <c:v>0.78718663397286637</c:v>
                </c:pt>
                <c:pt idx="736">
                  <c:v>0.72962682463869832</c:v>
                </c:pt>
                <c:pt idx="737">
                  <c:v>0.66692291325740882</c:v>
                </c:pt>
                <c:pt idx="738">
                  <c:v>0.88439403317470244</c:v>
                </c:pt>
                <c:pt idx="739">
                  <c:v>1.0991231766186287</c:v>
                </c:pt>
                <c:pt idx="740">
                  <c:v>0.90116333170800811</c:v>
                </c:pt>
                <c:pt idx="741">
                  <c:v>0.68170896559622562</c:v>
                </c:pt>
                <c:pt idx="742">
                  <c:v>0.93680789150203303</c:v>
                </c:pt>
                <c:pt idx="743">
                  <c:v>0.71712707406185583</c:v>
                </c:pt>
                <c:pt idx="744">
                  <c:v>0.87393265259676411</c:v>
                </c:pt>
                <c:pt idx="745">
                  <c:v>0.72622447475371388</c:v>
                </c:pt>
                <c:pt idx="746">
                  <c:v>0.70905439389313862</c:v>
                </c:pt>
                <c:pt idx="747">
                  <c:v>0.71363777369315606</c:v>
                </c:pt>
                <c:pt idx="748">
                  <c:v>0.99286097455309275</c:v>
                </c:pt>
                <c:pt idx="749">
                  <c:v>0.87968112955497091</c:v>
                </c:pt>
                <c:pt idx="750">
                  <c:v>0.80589056701679684</c:v>
                </c:pt>
                <c:pt idx="751">
                  <c:v>0.77443986335402393</c:v>
                </c:pt>
                <c:pt idx="752">
                  <c:v>0.77558395822357262</c:v>
                </c:pt>
                <c:pt idx="753">
                  <c:v>0.65406949933910674</c:v>
                </c:pt>
                <c:pt idx="754">
                  <c:v>0.88216730419232903</c:v>
                </c:pt>
                <c:pt idx="755">
                  <c:v>0.51886778368868747</c:v>
                </c:pt>
                <c:pt idx="756">
                  <c:v>1.1706155405631318</c:v>
                </c:pt>
                <c:pt idx="757">
                  <c:v>0.63435498094316678</c:v>
                </c:pt>
                <c:pt idx="758">
                  <c:v>1.0865627626082439</c:v>
                </c:pt>
                <c:pt idx="759">
                  <c:v>1.0380649006945868</c:v>
                </c:pt>
                <c:pt idx="760">
                  <c:v>1.0035195847332394</c:v>
                </c:pt>
                <c:pt idx="761">
                  <c:v>0.6286702442075871</c:v>
                </c:pt>
                <c:pt idx="762">
                  <c:v>0.98699950077878551</c:v>
                </c:pt>
                <c:pt idx="763">
                  <c:v>0.77600710040898502</c:v>
                </c:pt>
                <c:pt idx="764">
                  <c:v>0.82334377126585245</c:v>
                </c:pt>
                <c:pt idx="765">
                  <c:v>1.0276507721428612</c:v>
                </c:pt>
                <c:pt idx="766">
                  <c:v>0.62689486730460153</c:v>
                </c:pt>
                <c:pt idx="767">
                  <c:v>0.71374056570996025</c:v>
                </c:pt>
                <c:pt idx="768">
                  <c:v>0.97295865315971763</c:v>
                </c:pt>
                <c:pt idx="769">
                  <c:v>0.66368055323423114</c:v>
                </c:pt>
                <c:pt idx="770">
                  <c:v>0.79385767628668802</c:v>
                </c:pt>
                <c:pt idx="771">
                  <c:v>0.60994285626016786</c:v>
                </c:pt>
                <c:pt idx="772">
                  <c:v>0.67483107863962033</c:v>
                </c:pt>
                <c:pt idx="773">
                  <c:v>0.75522799606443947</c:v>
                </c:pt>
                <c:pt idx="774">
                  <c:v>0.83196981175320062</c:v>
                </c:pt>
                <c:pt idx="775">
                  <c:v>0.80789971409782435</c:v>
                </c:pt>
                <c:pt idx="776">
                  <c:v>0.99842252312030766</c:v>
                </c:pt>
                <c:pt idx="777">
                  <c:v>0.83813422449094865</c:v>
                </c:pt>
                <c:pt idx="778">
                  <c:v>0.74593501182337096</c:v>
                </c:pt>
                <c:pt idx="779">
                  <c:v>0.70529512236350023</c:v>
                </c:pt>
                <c:pt idx="780">
                  <c:v>0.65010767172345219</c:v>
                </c:pt>
                <c:pt idx="781">
                  <c:v>0.78790681557777287</c:v>
                </c:pt>
                <c:pt idx="782">
                  <c:v>0.71230543780683409</c:v>
                </c:pt>
                <c:pt idx="783">
                  <c:v>0.61968114673988417</c:v>
                </c:pt>
                <c:pt idx="784">
                  <c:v>0.76263826253258316</c:v>
                </c:pt>
                <c:pt idx="785">
                  <c:v>0.93738335621676505</c:v>
                </c:pt>
                <c:pt idx="786">
                  <c:v>0.89530234954745058</c:v>
                </c:pt>
                <c:pt idx="787">
                  <c:v>0.71169926937348293</c:v>
                </c:pt>
                <c:pt idx="788">
                  <c:v>0.82374183374112508</c:v>
                </c:pt>
                <c:pt idx="789">
                  <c:v>0.77781000072424078</c:v>
                </c:pt>
                <c:pt idx="790">
                  <c:v>0.84264121456742203</c:v>
                </c:pt>
                <c:pt idx="791">
                  <c:v>0.92377720243220907</c:v>
                </c:pt>
                <c:pt idx="792">
                  <c:v>0.73076468186719801</c:v>
                </c:pt>
                <c:pt idx="793">
                  <c:v>0.90734517039282192</c:v>
                </c:pt>
                <c:pt idx="794">
                  <c:v>0.68626937749361527</c:v>
                </c:pt>
                <c:pt idx="795">
                  <c:v>0.85832447849439308</c:v>
                </c:pt>
                <c:pt idx="796">
                  <c:v>0.80353098192357209</c:v>
                </c:pt>
                <c:pt idx="797">
                  <c:v>0.99007124068757957</c:v>
                </c:pt>
                <c:pt idx="798">
                  <c:v>0.69734698624765912</c:v>
                </c:pt>
                <c:pt idx="799">
                  <c:v>1.0996983043993547</c:v>
                </c:pt>
                <c:pt idx="800">
                  <c:v>0.86208200786112066</c:v>
                </c:pt>
                <c:pt idx="801">
                  <c:v>1.0336056802456239</c:v>
                </c:pt>
                <c:pt idx="802">
                  <c:v>0.86506340454749608</c:v>
                </c:pt>
                <c:pt idx="803">
                  <c:v>1.0733280845272795</c:v>
                </c:pt>
                <c:pt idx="804">
                  <c:v>0.87431387444961484</c:v>
                </c:pt>
                <c:pt idx="805">
                  <c:v>0.86364375561448092</c:v>
                </c:pt>
                <c:pt idx="806">
                  <c:v>0.62715501640390769</c:v>
                </c:pt>
                <c:pt idx="807">
                  <c:v>0.61848120416918029</c:v>
                </c:pt>
                <c:pt idx="808">
                  <c:v>1.0842275986808181</c:v>
                </c:pt>
                <c:pt idx="809">
                  <c:v>1.2206620217793676</c:v>
                </c:pt>
                <c:pt idx="810">
                  <c:v>1.1439244650226641</c:v>
                </c:pt>
                <c:pt idx="811">
                  <c:v>0.92503065918418059</c:v>
                </c:pt>
                <c:pt idx="812">
                  <c:v>0.8665260303487301</c:v>
                </c:pt>
                <c:pt idx="813">
                  <c:v>0.60435625601569143</c:v>
                </c:pt>
                <c:pt idx="814">
                  <c:v>0.96528135545673255</c:v>
                </c:pt>
                <c:pt idx="815">
                  <c:v>0.79243898863279671</c:v>
                </c:pt>
                <c:pt idx="816">
                  <c:v>0.85959346865597386</c:v>
                </c:pt>
                <c:pt idx="817">
                  <c:v>0.7945795673627325</c:v>
                </c:pt>
                <c:pt idx="818">
                  <c:v>0.71171318012824791</c:v>
                </c:pt>
                <c:pt idx="819">
                  <c:v>0.95910030880952224</c:v>
                </c:pt>
                <c:pt idx="820">
                  <c:v>0.59415573972422031</c:v>
                </c:pt>
                <c:pt idx="821">
                  <c:v>0.86270898350315406</c:v>
                </c:pt>
                <c:pt idx="822">
                  <c:v>0.99235181902581182</c:v>
                </c:pt>
                <c:pt idx="823">
                  <c:v>0.72236861466150071</c:v>
                </c:pt>
                <c:pt idx="824">
                  <c:v>0.98570228676780403</c:v>
                </c:pt>
                <c:pt idx="825">
                  <c:v>0.92481226920591197</c:v>
                </c:pt>
                <c:pt idx="826">
                  <c:v>0.77361061921001806</c:v>
                </c:pt>
                <c:pt idx="827">
                  <c:v>0.74497970140658332</c:v>
                </c:pt>
                <c:pt idx="828">
                  <c:v>0.93897865095559219</c:v>
                </c:pt>
                <c:pt idx="829">
                  <c:v>0.77548020084653491</c:v>
                </c:pt>
                <c:pt idx="830">
                  <c:v>1.0418729794169659</c:v>
                </c:pt>
                <c:pt idx="831">
                  <c:v>0.9006860610724452</c:v>
                </c:pt>
                <c:pt idx="832">
                  <c:v>1.0106977503134882</c:v>
                </c:pt>
                <c:pt idx="833">
                  <c:v>0.81573305052535972</c:v>
                </c:pt>
                <c:pt idx="834">
                  <c:v>0.97888022384732487</c:v>
                </c:pt>
                <c:pt idx="835">
                  <c:v>0.85983457302323885</c:v>
                </c:pt>
                <c:pt idx="836">
                  <c:v>0.88926475871630739</c:v>
                </c:pt>
                <c:pt idx="837">
                  <c:v>0.8409743735107158</c:v>
                </c:pt>
                <c:pt idx="838">
                  <c:v>0.94596788133099974</c:v>
                </c:pt>
                <c:pt idx="839">
                  <c:v>0.71600945723396414</c:v>
                </c:pt>
                <c:pt idx="840">
                  <c:v>0.82866221321830658</c:v>
                </c:pt>
                <c:pt idx="841">
                  <c:v>0.90684907864935305</c:v>
                </c:pt>
                <c:pt idx="842">
                  <c:v>1.0216409514142439</c:v>
                </c:pt>
                <c:pt idx="843">
                  <c:v>0.93375639925114129</c:v>
                </c:pt>
                <c:pt idx="844">
                  <c:v>0.6894883258026745</c:v>
                </c:pt>
                <c:pt idx="845">
                  <c:v>0.90427247153292267</c:v>
                </c:pt>
                <c:pt idx="846">
                  <c:v>0.82555123411456677</c:v>
                </c:pt>
                <c:pt idx="847">
                  <c:v>0.86906154836820271</c:v>
                </c:pt>
                <c:pt idx="848">
                  <c:v>0.94359393602460706</c:v>
                </c:pt>
                <c:pt idx="849">
                  <c:v>0.76514127616841954</c:v>
                </c:pt>
                <c:pt idx="850">
                  <c:v>0.77874962741989773</c:v>
                </c:pt>
                <c:pt idx="851">
                  <c:v>0.99520601275577025</c:v>
                </c:pt>
                <c:pt idx="852">
                  <c:v>0.92104440034250601</c:v>
                </c:pt>
                <c:pt idx="853">
                  <c:v>0.9245662264970731</c:v>
                </c:pt>
                <c:pt idx="854">
                  <c:v>0.64105519244496278</c:v>
                </c:pt>
                <c:pt idx="855">
                  <c:v>0.97415892072864008</c:v>
                </c:pt>
                <c:pt idx="856">
                  <c:v>0.93306800989778793</c:v>
                </c:pt>
                <c:pt idx="857">
                  <c:v>1.0658174102795739</c:v>
                </c:pt>
                <c:pt idx="858">
                  <c:v>0.86760216302924675</c:v>
                </c:pt>
                <c:pt idx="859">
                  <c:v>0.83470041625729063</c:v>
                </c:pt>
                <c:pt idx="860">
                  <c:v>0.90944735555781442</c:v>
                </c:pt>
                <c:pt idx="861">
                  <c:v>0.66145662810900774</c:v>
                </c:pt>
                <c:pt idx="862">
                  <c:v>0.97327890696941211</c:v>
                </c:pt>
                <c:pt idx="863">
                  <c:v>0.7817117154768134</c:v>
                </c:pt>
                <c:pt idx="864">
                  <c:v>0.75113544154333667</c:v>
                </c:pt>
                <c:pt idx="865">
                  <c:v>0.54395896298938684</c:v>
                </c:pt>
                <c:pt idx="866">
                  <c:v>0.74600507066150179</c:v>
                </c:pt>
                <c:pt idx="867">
                  <c:v>0.77309330862398262</c:v>
                </c:pt>
                <c:pt idx="868">
                  <c:v>0.85984141228797384</c:v>
                </c:pt>
                <c:pt idx="869">
                  <c:v>0.77551201127127278</c:v>
                </c:pt>
                <c:pt idx="870">
                  <c:v>0.93248583497560489</c:v>
                </c:pt>
                <c:pt idx="871">
                  <c:v>0.68169629548159349</c:v>
                </c:pt>
                <c:pt idx="872">
                  <c:v>0.57381389601027344</c:v>
                </c:pt>
                <c:pt idx="873">
                  <c:v>1.0739037933143241</c:v>
                </c:pt>
                <c:pt idx="874">
                  <c:v>0.73090953384325186</c:v>
                </c:pt>
                <c:pt idx="875">
                  <c:v>0.80822795419626559</c:v>
                </c:pt>
                <c:pt idx="876">
                  <c:v>0.76523545862417208</c:v>
                </c:pt>
                <c:pt idx="877">
                  <c:v>0.82739610835930399</c:v>
                </c:pt>
                <c:pt idx="878">
                  <c:v>0.65554475210372942</c:v>
                </c:pt>
                <c:pt idx="879">
                  <c:v>0.79753880621396878</c:v>
                </c:pt>
                <c:pt idx="880">
                  <c:v>0.8666778194635798</c:v>
                </c:pt>
                <c:pt idx="881">
                  <c:v>0.70714650147338265</c:v>
                </c:pt>
                <c:pt idx="882">
                  <c:v>0.76854703257133927</c:v>
                </c:pt>
                <c:pt idx="883">
                  <c:v>0.98946096985336673</c:v>
                </c:pt>
                <c:pt idx="884">
                  <c:v>0.8490175581544035</c:v>
                </c:pt>
                <c:pt idx="885">
                  <c:v>0.60669180049165838</c:v>
                </c:pt>
                <c:pt idx="886">
                  <c:v>0.88949766830183918</c:v>
                </c:pt>
                <c:pt idx="887">
                  <c:v>0.73587630344663424</c:v>
                </c:pt>
                <c:pt idx="888">
                  <c:v>0.87884539923775584</c:v>
                </c:pt>
                <c:pt idx="889">
                  <c:v>0.77012624197983115</c:v>
                </c:pt>
                <c:pt idx="890">
                  <c:v>0.77822435297894632</c:v>
                </c:pt>
                <c:pt idx="891">
                  <c:v>0.82933873228237509</c:v>
                </c:pt>
                <c:pt idx="892">
                  <c:v>0.97912055891316196</c:v>
                </c:pt>
                <c:pt idx="893">
                  <c:v>0.56722659319554669</c:v>
                </c:pt>
                <c:pt idx="894">
                  <c:v>0.99440366614332465</c:v>
                </c:pt>
                <c:pt idx="895">
                  <c:v>0.90739608997842502</c:v>
                </c:pt>
                <c:pt idx="896">
                  <c:v>1.0173850486217964</c:v>
                </c:pt>
                <c:pt idx="897">
                  <c:v>0.95882327437663406</c:v>
                </c:pt>
                <c:pt idx="898">
                  <c:v>1.1142498316278493</c:v>
                </c:pt>
                <c:pt idx="899">
                  <c:v>0.84234793497042038</c:v>
                </c:pt>
                <c:pt idx="900">
                  <c:v>0.78402228151562348</c:v>
                </c:pt>
                <c:pt idx="901">
                  <c:v>0.88657295222277099</c:v>
                </c:pt>
                <c:pt idx="902">
                  <c:v>0.76516342851562058</c:v>
                </c:pt>
                <c:pt idx="903">
                  <c:v>0.6471868599092705</c:v>
                </c:pt>
                <c:pt idx="904">
                  <c:v>1.0662094569899727</c:v>
                </c:pt>
                <c:pt idx="905">
                  <c:v>1.045700767438932</c:v>
                </c:pt>
                <c:pt idx="906">
                  <c:v>0.77931364406031456</c:v>
                </c:pt>
                <c:pt idx="907">
                  <c:v>0.81433937554709601</c:v>
                </c:pt>
                <c:pt idx="908">
                  <c:v>0.78455746720504482</c:v>
                </c:pt>
                <c:pt idx="909">
                  <c:v>0.88436726950969735</c:v>
                </c:pt>
                <c:pt idx="910">
                  <c:v>0.83088701849414193</c:v>
                </c:pt>
                <c:pt idx="911">
                  <c:v>0.66579807834939331</c:v>
                </c:pt>
                <c:pt idx="912">
                  <c:v>0.82619004641225224</c:v>
                </c:pt>
                <c:pt idx="913">
                  <c:v>0.81735121647506936</c:v>
                </c:pt>
                <c:pt idx="914">
                  <c:v>0.78112426892452902</c:v>
                </c:pt>
                <c:pt idx="915">
                  <c:v>0.80609062831257461</c:v>
                </c:pt>
                <c:pt idx="916">
                  <c:v>1.0283732939070989</c:v>
                </c:pt>
                <c:pt idx="917">
                  <c:v>0.90041545855004301</c:v>
                </c:pt>
                <c:pt idx="918">
                  <c:v>0.59729394795540891</c:v>
                </c:pt>
                <c:pt idx="919">
                  <c:v>0.83079125688943201</c:v>
                </c:pt>
                <c:pt idx="920">
                  <c:v>0.66749151076468749</c:v>
                </c:pt>
                <c:pt idx="921">
                  <c:v>0.94724335327752396</c:v>
                </c:pt>
                <c:pt idx="922">
                  <c:v>0.93289813430518542</c:v>
                </c:pt>
                <c:pt idx="923">
                  <c:v>0.84681296957086971</c:v>
                </c:pt>
                <c:pt idx="924">
                  <c:v>0.77454726198281065</c:v>
                </c:pt>
                <c:pt idx="925">
                  <c:v>1.0006085113716221</c:v>
                </c:pt>
                <c:pt idx="926">
                  <c:v>0.70535837146670755</c:v>
                </c:pt>
                <c:pt idx="927">
                  <c:v>1.0181842401994086</c:v>
                </c:pt>
                <c:pt idx="928">
                  <c:v>0.94514422168634216</c:v>
                </c:pt>
                <c:pt idx="929">
                  <c:v>1.0694578007350906</c:v>
                </c:pt>
                <c:pt idx="930">
                  <c:v>0.6889726196235797</c:v>
                </c:pt>
                <c:pt idx="931">
                  <c:v>1.1516644029340997</c:v>
                </c:pt>
                <c:pt idx="932">
                  <c:v>0.64739596945846145</c:v>
                </c:pt>
                <c:pt idx="933">
                  <c:v>0.60890596694908972</c:v>
                </c:pt>
                <c:pt idx="934">
                  <c:v>0.79488601983416274</c:v>
                </c:pt>
                <c:pt idx="935">
                  <c:v>0.9204541172769467</c:v>
                </c:pt>
                <c:pt idx="936">
                  <c:v>0.95562790762712169</c:v>
                </c:pt>
                <c:pt idx="937">
                  <c:v>0.74652607906326907</c:v>
                </c:pt>
                <c:pt idx="938">
                  <c:v>0.78613637626762323</c:v>
                </c:pt>
                <c:pt idx="939">
                  <c:v>0.89591350025937277</c:v>
                </c:pt>
                <c:pt idx="940">
                  <c:v>0.91135399610383505</c:v>
                </c:pt>
                <c:pt idx="941">
                  <c:v>0.9492258950838135</c:v>
                </c:pt>
                <c:pt idx="942">
                  <c:v>1.1703667301524625</c:v>
                </c:pt>
                <c:pt idx="943">
                  <c:v>0.78254161703421676</c:v>
                </c:pt>
                <c:pt idx="944">
                  <c:v>0.91352825947635452</c:v>
                </c:pt>
                <c:pt idx="945">
                  <c:v>0.86273449302010174</c:v>
                </c:pt>
                <c:pt idx="946">
                  <c:v>0.63906224976320658</c:v>
                </c:pt>
                <c:pt idx="947">
                  <c:v>0.667920130866138</c:v>
                </c:pt>
                <c:pt idx="948">
                  <c:v>0.75583896914195048</c:v>
                </c:pt>
                <c:pt idx="949">
                  <c:v>0.87411032485920614</c:v>
                </c:pt>
                <c:pt idx="950">
                  <c:v>0.85112000650609865</c:v>
                </c:pt>
                <c:pt idx="951">
                  <c:v>0.69286799099917218</c:v>
                </c:pt>
                <c:pt idx="952">
                  <c:v>0.77549208260136737</c:v>
                </c:pt>
                <c:pt idx="953">
                  <c:v>0.9939455390716212</c:v>
                </c:pt>
                <c:pt idx="954">
                  <c:v>1.1000789056424614</c:v>
                </c:pt>
                <c:pt idx="955">
                  <c:v>0.71835799837570491</c:v>
                </c:pt>
                <c:pt idx="956">
                  <c:v>0.63778093462657193</c:v>
                </c:pt>
                <c:pt idx="957">
                  <c:v>0.94945363956476747</c:v>
                </c:pt>
                <c:pt idx="958">
                  <c:v>1.0306819282861959</c:v>
                </c:pt>
                <c:pt idx="959">
                  <c:v>0.74214005302470909</c:v>
                </c:pt>
                <c:pt idx="960">
                  <c:v>0.96619334364763176</c:v>
                </c:pt>
                <c:pt idx="961">
                  <c:v>1.058206822513645</c:v>
                </c:pt>
                <c:pt idx="962">
                  <c:v>1.0754013209002879</c:v>
                </c:pt>
                <c:pt idx="963">
                  <c:v>0.68119340855703481</c:v>
                </c:pt>
                <c:pt idx="964">
                  <c:v>0.75180125216446481</c:v>
                </c:pt>
                <c:pt idx="965">
                  <c:v>0.90619017703395066</c:v>
                </c:pt>
                <c:pt idx="966">
                  <c:v>0.99181197991188164</c:v>
                </c:pt>
                <c:pt idx="967">
                  <c:v>0.77431404576600649</c:v>
                </c:pt>
                <c:pt idx="968">
                  <c:v>1.1431283607682605</c:v>
                </c:pt>
                <c:pt idx="969">
                  <c:v>0.66726284641088007</c:v>
                </c:pt>
                <c:pt idx="970">
                  <c:v>1.0910316070473023</c:v>
                </c:pt>
                <c:pt idx="971">
                  <c:v>0.62863712181183828</c:v>
                </c:pt>
                <c:pt idx="972">
                  <c:v>1.0647125277949669</c:v>
                </c:pt>
                <c:pt idx="973">
                  <c:v>0.88378533316051566</c:v>
                </c:pt>
                <c:pt idx="974">
                  <c:v>0.93596972772021836</c:v>
                </c:pt>
                <c:pt idx="975">
                  <c:v>0.92039993187471314</c:v>
                </c:pt>
                <c:pt idx="976">
                  <c:v>0.68822113939858909</c:v>
                </c:pt>
                <c:pt idx="977">
                  <c:v>0.71417873617434147</c:v>
                </c:pt>
                <c:pt idx="978">
                  <c:v>0.76028535578284728</c:v>
                </c:pt>
                <c:pt idx="979">
                  <c:v>1.1140933847166616</c:v>
                </c:pt>
                <c:pt idx="980">
                  <c:v>0.70026787606341756</c:v>
                </c:pt>
                <c:pt idx="981">
                  <c:v>0.84095153570429737</c:v>
                </c:pt>
                <c:pt idx="982">
                  <c:v>0.96273107158068694</c:v>
                </c:pt>
                <c:pt idx="983">
                  <c:v>0.89639952659511657</c:v>
                </c:pt>
                <c:pt idx="984">
                  <c:v>0.80045954033252364</c:v>
                </c:pt>
                <c:pt idx="985">
                  <c:v>0.99012025964582495</c:v>
                </c:pt>
                <c:pt idx="986">
                  <c:v>0.87061281935022894</c:v>
                </c:pt>
                <c:pt idx="987">
                  <c:v>0.59521480275326066</c:v>
                </c:pt>
                <c:pt idx="988">
                  <c:v>0.71653459192268798</c:v>
                </c:pt>
                <c:pt idx="989">
                  <c:v>0.71474028238831533</c:v>
                </c:pt>
                <c:pt idx="990">
                  <c:v>1.0068911307545934</c:v>
                </c:pt>
                <c:pt idx="991">
                  <c:v>1.0301980175200942</c:v>
                </c:pt>
                <c:pt idx="992">
                  <c:v>0.97312464377213104</c:v>
                </c:pt>
                <c:pt idx="993">
                  <c:v>0.90628279310126114</c:v>
                </c:pt>
                <c:pt idx="994">
                  <c:v>0.77500565269159871</c:v>
                </c:pt>
                <c:pt idx="995">
                  <c:v>1.0287333015949907</c:v>
                </c:pt>
                <c:pt idx="996">
                  <c:v>0.71391973398113517</c:v>
                </c:pt>
                <c:pt idx="997">
                  <c:v>1.1617777691773901</c:v>
                </c:pt>
                <c:pt idx="998">
                  <c:v>1.0279485824920647</c:v>
                </c:pt>
                <c:pt idx="999">
                  <c:v>0.83428719483527214</c:v>
                </c:pt>
              </c:numCache>
            </c:numRef>
          </c:xVal>
          <c:yVal>
            <c:numRef>
              <c:f>'Parameters and Analysis'!$C$38:$C$1037</c:f>
              <c:numCache>
                <c:formatCode>"£"#,##0</c:formatCode>
                <c:ptCount val="1000"/>
                <c:pt idx="0">
                  <c:v>5404.0520063805052</c:v>
                </c:pt>
                <c:pt idx="1">
                  <c:v>7297.868905428264</c:v>
                </c:pt>
                <c:pt idx="2">
                  <c:v>5240.0568099976354</c:v>
                </c:pt>
                <c:pt idx="3">
                  <c:v>6820.8761446212957</c:v>
                </c:pt>
                <c:pt idx="4">
                  <c:v>8733.0767757393678</c:v>
                </c:pt>
                <c:pt idx="5">
                  <c:v>6529.9897854467854</c:v>
                </c:pt>
                <c:pt idx="6">
                  <c:v>5121.5360205230991</c:v>
                </c:pt>
                <c:pt idx="7">
                  <c:v>7614.2413670201586</c:v>
                </c:pt>
                <c:pt idx="8">
                  <c:v>5979.9028226610026</c:v>
                </c:pt>
                <c:pt idx="9">
                  <c:v>6585.0542862835109</c:v>
                </c:pt>
                <c:pt idx="10">
                  <c:v>8545.6226895786021</c:v>
                </c:pt>
                <c:pt idx="11">
                  <c:v>8733.5005507137921</c:v>
                </c:pt>
                <c:pt idx="12">
                  <c:v>6891.6998788369219</c:v>
                </c:pt>
                <c:pt idx="13">
                  <c:v>8509.7627750658212</c:v>
                </c:pt>
                <c:pt idx="14">
                  <c:v>8699.3636386892522</c:v>
                </c:pt>
                <c:pt idx="15">
                  <c:v>6153.2929666893069</c:v>
                </c:pt>
                <c:pt idx="16">
                  <c:v>6852.2101440112237</c:v>
                </c:pt>
                <c:pt idx="17">
                  <c:v>6286.070787442779</c:v>
                </c:pt>
                <c:pt idx="18">
                  <c:v>8966.728510427216</c:v>
                </c:pt>
                <c:pt idx="19">
                  <c:v>4925.5368469497644</c:v>
                </c:pt>
                <c:pt idx="20">
                  <c:v>6754.7731916165849</c:v>
                </c:pt>
                <c:pt idx="21">
                  <c:v>5986.2025707803168</c:v>
                </c:pt>
                <c:pt idx="22">
                  <c:v>8051.3981158401257</c:v>
                </c:pt>
                <c:pt idx="23">
                  <c:v>5683.165643662127</c:v>
                </c:pt>
                <c:pt idx="24">
                  <c:v>7635.7590838916331</c:v>
                </c:pt>
                <c:pt idx="25">
                  <c:v>7307.6976415575136</c:v>
                </c:pt>
                <c:pt idx="26">
                  <c:v>7222.5747293173881</c:v>
                </c:pt>
                <c:pt idx="27">
                  <c:v>7288.8560123328734</c:v>
                </c:pt>
                <c:pt idx="28">
                  <c:v>7125.2893524208266</c:v>
                </c:pt>
                <c:pt idx="29">
                  <c:v>5447.4279341630163</c:v>
                </c:pt>
                <c:pt idx="30">
                  <c:v>6774.8935948826438</c:v>
                </c:pt>
                <c:pt idx="31">
                  <c:v>7256.7516630103091</c:v>
                </c:pt>
                <c:pt idx="32">
                  <c:v>7002.8518883516699</c:v>
                </c:pt>
                <c:pt idx="33">
                  <c:v>6803.3639857494345</c:v>
                </c:pt>
                <c:pt idx="34">
                  <c:v>7248.0439817223405</c:v>
                </c:pt>
                <c:pt idx="35">
                  <c:v>6611.5774419647423</c:v>
                </c:pt>
                <c:pt idx="36">
                  <c:v>5360.1858393940893</c:v>
                </c:pt>
                <c:pt idx="37">
                  <c:v>8657.5972965534147</c:v>
                </c:pt>
                <c:pt idx="38">
                  <c:v>7113.980381398309</c:v>
                </c:pt>
                <c:pt idx="39">
                  <c:v>6818.4584420949541</c:v>
                </c:pt>
                <c:pt idx="40">
                  <c:v>9228.3935748566437</c:v>
                </c:pt>
                <c:pt idx="41">
                  <c:v>5740.3301124687441</c:v>
                </c:pt>
                <c:pt idx="42">
                  <c:v>7668.392122305886</c:v>
                </c:pt>
                <c:pt idx="43">
                  <c:v>6269.9017402814115</c:v>
                </c:pt>
                <c:pt idx="44">
                  <c:v>6883.4193542708399</c:v>
                </c:pt>
                <c:pt idx="45">
                  <c:v>8041.813508014453</c:v>
                </c:pt>
                <c:pt idx="46">
                  <c:v>8671.0450063609587</c:v>
                </c:pt>
                <c:pt idx="47">
                  <c:v>6140.7818556515394</c:v>
                </c:pt>
                <c:pt idx="48">
                  <c:v>4888.9875845113093</c:v>
                </c:pt>
                <c:pt idx="49">
                  <c:v>5821.6031803979022</c:v>
                </c:pt>
                <c:pt idx="50">
                  <c:v>5604.323701400921</c:v>
                </c:pt>
                <c:pt idx="51">
                  <c:v>7635.6869421251286</c:v>
                </c:pt>
                <c:pt idx="52">
                  <c:v>7531.1631077336224</c:v>
                </c:pt>
                <c:pt idx="53">
                  <c:v>9377.0410723109926</c:v>
                </c:pt>
                <c:pt idx="54">
                  <c:v>4656.0137797857133</c:v>
                </c:pt>
                <c:pt idx="55">
                  <c:v>7909.8716826321179</c:v>
                </c:pt>
                <c:pt idx="56">
                  <c:v>4621.9427797602948</c:v>
                </c:pt>
                <c:pt idx="57">
                  <c:v>4435.7242537264265</c:v>
                </c:pt>
                <c:pt idx="58">
                  <c:v>7044.2943099184467</c:v>
                </c:pt>
                <c:pt idx="59">
                  <c:v>6612.3049353673377</c:v>
                </c:pt>
                <c:pt idx="60">
                  <c:v>7130.5152243313096</c:v>
                </c:pt>
                <c:pt idx="61">
                  <c:v>8794.2975986653582</c:v>
                </c:pt>
                <c:pt idx="62">
                  <c:v>6926.1990028332584</c:v>
                </c:pt>
                <c:pt idx="63">
                  <c:v>6960.3721144132942</c:v>
                </c:pt>
                <c:pt idx="64">
                  <c:v>5555.5810782184708</c:v>
                </c:pt>
                <c:pt idx="65">
                  <c:v>8297.9324177202034</c:v>
                </c:pt>
                <c:pt idx="66">
                  <c:v>4792.7643453058408</c:v>
                </c:pt>
                <c:pt idx="67">
                  <c:v>8437.2769902015662</c:v>
                </c:pt>
                <c:pt idx="68">
                  <c:v>7540.9197973379023</c:v>
                </c:pt>
                <c:pt idx="69">
                  <c:v>8274.8392943581384</c:v>
                </c:pt>
                <c:pt idx="70">
                  <c:v>7730.2416472478217</c:v>
                </c:pt>
                <c:pt idx="71">
                  <c:v>6502.6614609381159</c:v>
                </c:pt>
                <c:pt idx="72">
                  <c:v>8230.6672204673105</c:v>
                </c:pt>
                <c:pt idx="73">
                  <c:v>5743.9455379224564</c:v>
                </c:pt>
                <c:pt idx="74">
                  <c:v>6660.7446189779475</c:v>
                </c:pt>
                <c:pt idx="75">
                  <c:v>6592.0473344305756</c:v>
                </c:pt>
                <c:pt idx="76">
                  <c:v>7102.0463834269576</c:v>
                </c:pt>
                <c:pt idx="77">
                  <c:v>5718.1355799149187</c:v>
                </c:pt>
                <c:pt idx="78">
                  <c:v>5094.8813031716718</c:v>
                </c:pt>
                <c:pt idx="79">
                  <c:v>6313.1471893051121</c:v>
                </c:pt>
                <c:pt idx="80">
                  <c:v>6429.2876295089563</c:v>
                </c:pt>
                <c:pt idx="81">
                  <c:v>8393.133408621954</c:v>
                </c:pt>
                <c:pt idx="82">
                  <c:v>7326.9413728604322</c:v>
                </c:pt>
                <c:pt idx="83">
                  <c:v>7800.194726036987</c:v>
                </c:pt>
                <c:pt idx="84">
                  <c:v>7816.600624805249</c:v>
                </c:pt>
                <c:pt idx="85">
                  <c:v>6801.8126355124605</c:v>
                </c:pt>
                <c:pt idx="86">
                  <c:v>7095.1998368969507</c:v>
                </c:pt>
                <c:pt idx="87">
                  <c:v>6828.6989865971691</c:v>
                </c:pt>
                <c:pt idx="88">
                  <c:v>6077.6023559447658</c:v>
                </c:pt>
                <c:pt idx="89">
                  <c:v>8221.9911210768532</c:v>
                </c:pt>
                <c:pt idx="90">
                  <c:v>7201.79243042294</c:v>
                </c:pt>
                <c:pt idx="91">
                  <c:v>8208.7971114713437</c:v>
                </c:pt>
                <c:pt idx="92">
                  <c:v>6962.0796046914984</c:v>
                </c:pt>
                <c:pt idx="93">
                  <c:v>5497.7895417324962</c:v>
                </c:pt>
                <c:pt idx="94">
                  <c:v>6307.7684663053897</c:v>
                </c:pt>
                <c:pt idx="95">
                  <c:v>5730.0418606028743</c:v>
                </c:pt>
                <c:pt idx="96">
                  <c:v>6485.7941827678915</c:v>
                </c:pt>
                <c:pt idx="97">
                  <c:v>6497.8638530032022</c:v>
                </c:pt>
                <c:pt idx="98">
                  <c:v>5775.6436621485591</c:v>
                </c:pt>
                <c:pt idx="99">
                  <c:v>6348.1986666319244</c:v>
                </c:pt>
                <c:pt idx="100">
                  <c:v>7463.0075130522728</c:v>
                </c:pt>
                <c:pt idx="101">
                  <c:v>6784.4574772908436</c:v>
                </c:pt>
                <c:pt idx="102">
                  <c:v>6532.7198501726689</c:v>
                </c:pt>
                <c:pt idx="103">
                  <c:v>7061.066616078032</c:v>
                </c:pt>
                <c:pt idx="104">
                  <c:v>6901.8692092672463</c:v>
                </c:pt>
                <c:pt idx="105">
                  <c:v>6209.7365152126113</c:v>
                </c:pt>
                <c:pt idx="106">
                  <c:v>5626.7531438741171</c:v>
                </c:pt>
                <c:pt idx="107">
                  <c:v>6147.9631077353552</c:v>
                </c:pt>
                <c:pt idx="108">
                  <c:v>7508.6869974847959</c:v>
                </c:pt>
                <c:pt idx="109">
                  <c:v>7322.9752260580954</c:v>
                </c:pt>
                <c:pt idx="110">
                  <c:v>5818.9153295669093</c:v>
                </c:pt>
                <c:pt idx="111">
                  <c:v>5328.4046052796093</c:v>
                </c:pt>
                <c:pt idx="112">
                  <c:v>7177.3326559673606</c:v>
                </c:pt>
                <c:pt idx="113">
                  <c:v>9448.5253192455111</c:v>
                </c:pt>
                <c:pt idx="114">
                  <c:v>6619.3573583497728</c:v>
                </c:pt>
                <c:pt idx="115">
                  <c:v>8266.0948705097107</c:v>
                </c:pt>
                <c:pt idx="116">
                  <c:v>6764.6845009323406</c:v>
                </c:pt>
                <c:pt idx="117">
                  <c:v>6637.9296406302037</c:v>
                </c:pt>
                <c:pt idx="118">
                  <c:v>7091.101049403962</c:v>
                </c:pt>
                <c:pt idx="119">
                  <c:v>6749.3092983133629</c:v>
                </c:pt>
                <c:pt idx="120">
                  <c:v>6896.336208056262</c:v>
                </c:pt>
                <c:pt idx="121">
                  <c:v>6408.0039822569834</c:v>
                </c:pt>
                <c:pt idx="122">
                  <c:v>7944.0804205219974</c:v>
                </c:pt>
                <c:pt idx="123">
                  <c:v>6571.1109607026938</c:v>
                </c:pt>
                <c:pt idx="124">
                  <c:v>8792.5256819003898</c:v>
                </c:pt>
                <c:pt idx="125">
                  <c:v>6962.6086866331279</c:v>
                </c:pt>
                <c:pt idx="126">
                  <c:v>5482.8920324136307</c:v>
                </c:pt>
                <c:pt idx="127">
                  <c:v>6570.4358787506017</c:v>
                </c:pt>
                <c:pt idx="128">
                  <c:v>8014.626297135299</c:v>
                </c:pt>
                <c:pt idx="129">
                  <c:v>8506.2313336578391</c:v>
                </c:pt>
                <c:pt idx="130">
                  <c:v>7437.0310008727465</c:v>
                </c:pt>
                <c:pt idx="131">
                  <c:v>8121.2182041009546</c:v>
                </c:pt>
                <c:pt idx="132">
                  <c:v>7283.6879734316262</c:v>
                </c:pt>
                <c:pt idx="133">
                  <c:v>7461.1390026600366</c:v>
                </c:pt>
                <c:pt idx="134">
                  <c:v>7373.2818640222504</c:v>
                </c:pt>
                <c:pt idx="135">
                  <c:v>5290.3195684007878</c:v>
                </c:pt>
                <c:pt idx="136">
                  <c:v>6494.8347920441101</c:v>
                </c:pt>
                <c:pt idx="137">
                  <c:v>6438.2104394885137</c:v>
                </c:pt>
                <c:pt idx="138">
                  <c:v>7301.4468008565773</c:v>
                </c:pt>
                <c:pt idx="139">
                  <c:v>7077.7810905392798</c:v>
                </c:pt>
                <c:pt idx="140">
                  <c:v>8241.3939846164703</c:v>
                </c:pt>
                <c:pt idx="141">
                  <c:v>7661.7834947795191</c:v>
                </c:pt>
                <c:pt idx="142">
                  <c:v>8236.1764725423054</c:v>
                </c:pt>
                <c:pt idx="143">
                  <c:v>7246.5647867083862</c:v>
                </c:pt>
                <c:pt idx="144">
                  <c:v>7445.1709167406316</c:v>
                </c:pt>
                <c:pt idx="145">
                  <c:v>6222.0196666055399</c:v>
                </c:pt>
                <c:pt idx="146">
                  <c:v>7917.7553509828231</c:v>
                </c:pt>
                <c:pt idx="147">
                  <c:v>10033.832926781268</c:v>
                </c:pt>
                <c:pt idx="148">
                  <c:v>8201.495601889641</c:v>
                </c:pt>
                <c:pt idx="149">
                  <c:v>7000.7331803601774</c:v>
                </c:pt>
                <c:pt idx="150">
                  <c:v>6021.1262320623491</c:v>
                </c:pt>
                <c:pt idx="151">
                  <c:v>7141.3087584024415</c:v>
                </c:pt>
                <c:pt idx="152">
                  <c:v>7267.1996062276739</c:v>
                </c:pt>
                <c:pt idx="153">
                  <c:v>6445.649836121378</c:v>
                </c:pt>
                <c:pt idx="154">
                  <c:v>5321.4357059604881</c:v>
                </c:pt>
                <c:pt idx="155">
                  <c:v>6577.5693523111077</c:v>
                </c:pt>
                <c:pt idx="156">
                  <c:v>8245.3239017538199</c:v>
                </c:pt>
                <c:pt idx="157">
                  <c:v>6696.2196092893373</c:v>
                </c:pt>
                <c:pt idx="158">
                  <c:v>6226.3083399842508</c:v>
                </c:pt>
                <c:pt idx="159">
                  <c:v>6700.1059601317429</c:v>
                </c:pt>
                <c:pt idx="160">
                  <c:v>7433.6632856627712</c:v>
                </c:pt>
                <c:pt idx="161">
                  <c:v>6967.906067660123</c:v>
                </c:pt>
                <c:pt idx="162">
                  <c:v>7765.9309110916129</c:v>
                </c:pt>
                <c:pt idx="163">
                  <c:v>8936.1342590319946</c:v>
                </c:pt>
                <c:pt idx="164">
                  <c:v>6518.4157483844865</c:v>
                </c:pt>
                <c:pt idx="165">
                  <c:v>7219.8068988937848</c:v>
                </c:pt>
                <c:pt idx="166">
                  <c:v>8901.8659365448602</c:v>
                </c:pt>
                <c:pt idx="167">
                  <c:v>9046.1475964036581</c:v>
                </c:pt>
                <c:pt idx="168">
                  <c:v>7242.4230238787441</c:v>
                </c:pt>
                <c:pt idx="169">
                  <c:v>6791.3841864459064</c:v>
                </c:pt>
                <c:pt idx="170">
                  <c:v>6941.6810906861683</c:v>
                </c:pt>
                <c:pt idx="171">
                  <c:v>6342.1426030134371</c:v>
                </c:pt>
                <c:pt idx="172">
                  <c:v>7158.7815716338209</c:v>
                </c:pt>
                <c:pt idx="173">
                  <c:v>7680.4190960557789</c:v>
                </c:pt>
                <c:pt idx="174">
                  <c:v>6557.5306697554461</c:v>
                </c:pt>
                <c:pt idx="175">
                  <c:v>6948.8617610578276</c:v>
                </c:pt>
                <c:pt idx="176">
                  <c:v>6599.9052959631881</c:v>
                </c:pt>
                <c:pt idx="177">
                  <c:v>6460.0326731810401</c:v>
                </c:pt>
                <c:pt idx="178">
                  <c:v>8256.3249180327875</c:v>
                </c:pt>
                <c:pt idx="179">
                  <c:v>7763.8842910285548</c:v>
                </c:pt>
                <c:pt idx="180">
                  <c:v>5982.9711835831113</c:v>
                </c:pt>
                <c:pt idx="181">
                  <c:v>8716.790799520666</c:v>
                </c:pt>
                <c:pt idx="182">
                  <c:v>8257.9011548658364</c:v>
                </c:pt>
                <c:pt idx="183">
                  <c:v>7081.6484546149159</c:v>
                </c:pt>
                <c:pt idx="184">
                  <c:v>8549.2448534803461</c:v>
                </c:pt>
                <c:pt idx="185">
                  <c:v>6464.9823561352932</c:v>
                </c:pt>
                <c:pt idx="186">
                  <c:v>5156.4797549813156</c:v>
                </c:pt>
                <c:pt idx="187">
                  <c:v>6845.0054154513837</c:v>
                </c:pt>
                <c:pt idx="188">
                  <c:v>5419.2465417045114</c:v>
                </c:pt>
                <c:pt idx="189">
                  <c:v>6756.0843363152871</c:v>
                </c:pt>
                <c:pt idx="190">
                  <c:v>6697.7594019511653</c:v>
                </c:pt>
                <c:pt idx="191">
                  <c:v>7510.2209881580256</c:v>
                </c:pt>
                <c:pt idx="192">
                  <c:v>4560.7537281197274</c:v>
                </c:pt>
                <c:pt idx="193">
                  <c:v>6191.3842413822076</c:v>
                </c:pt>
                <c:pt idx="194">
                  <c:v>5683.5804572663656</c:v>
                </c:pt>
                <c:pt idx="195">
                  <c:v>7424.4902082277549</c:v>
                </c:pt>
                <c:pt idx="196">
                  <c:v>8948.7530635304684</c:v>
                </c:pt>
                <c:pt idx="197">
                  <c:v>7453.816368585527</c:v>
                </c:pt>
                <c:pt idx="198">
                  <c:v>6178.0818201891198</c:v>
                </c:pt>
                <c:pt idx="199">
                  <c:v>7229.1261825908023</c:v>
                </c:pt>
                <c:pt idx="200">
                  <c:v>6739.2602324934287</c:v>
                </c:pt>
                <c:pt idx="201">
                  <c:v>7305.5627747351573</c:v>
                </c:pt>
                <c:pt idx="202">
                  <c:v>7117.754140718067</c:v>
                </c:pt>
                <c:pt idx="203">
                  <c:v>5160.9268377824592</c:v>
                </c:pt>
                <c:pt idx="204">
                  <c:v>7685.8707727967258</c:v>
                </c:pt>
                <c:pt idx="205">
                  <c:v>6096.3069561638913</c:v>
                </c:pt>
                <c:pt idx="206">
                  <c:v>5578.7909423614055</c:v>
                </c:pt>
                <c:pt idx="207">
                  <c:v>7652.4457417023586</c:v>
                </c:pt>
                <c:pt idx="208">
                  <c:v>8041.9041874492195</c:v>
                </c:pt>
                <c:pt idx="209">
                  <c:v>6302.3046641834035</c:v>
                </c:pt>
                <c:pt idx="210">
                  <c:v>8521.4214868440176</c:v>
                </c:pt>
                <c:pt idx="211">
                  <c:v>9637.4292788323928</c:v>
                </c:pt>
                <c:pt idx="212">
                  <c:v>5713.3547568574377</c:v>
                </c:pt>
                <c:pt idx="213">
                  <c:v>7515.0607545487328</c:v>
                </c:pt>
                <c:pt idx="214">
                  <c:v>4812.9474299132162</c:v>
                </c:pt>
                <c:pt idx="215">
                  <c:v>7824.6983784104923</c:v>
                </c:pt>
                <c:pt idx="216">
                  <c:v>7177.6178085759529</c:v>
                </c:pt>
                <c:pt idx="217">
                  <c:v>6971.3472389305107</c:v>
                </c:pt>
                <c:pt idx="218">
                  <c:v>6768.5199920831383</c:v>
                </c:pt>
                <c:pt idx="219">
                  <c:v>7757.6442902654035</c:v>
                </c:pt>
                <c:pt idx="220">
                  <c:v>6765.1902328246797</c:v>
                </c:pt>
                <c:pt idx="221">
                  <c:v>6105.6936552445113</c:v>
                </c:pt>
                <c:pt idx="222">
                  <c:v>7660.6238472848027</c:v>
                </c:pt>
                <c:pt idx="223">
                  <c:v>6635.6482510491878</c:v>
                </c:pt>
                <c:pt idx="224">
                  <c:v>6401.098101024535</c:v>
                </c:pt>
                <c:pt idx="225">
                  <c:v>7475.9806813695386</c:v>
                </c:pt>
                <c:pt idx="226">
                  <c:v>6910.5372346872518</c:v>
                </c:pt>
                <c:pt idx="227">
                  <c:v>6331.6004424065013</c:v>
                </c:pt>
                <c:pt idx="228">
                  <c:v>6572.3613569422778</c:v>
                </c:pt>
                <c:pt idx="229">
                  <c:v>7733.3678412959835</c:v>
                </c:pt>
                <c:pt idx="230">
                  <c:v>7227.6357889280534</c:v>
                </c:pt>
                <c:pt idx="231">
                  <c:v>5864.309819971244</c:v>
                </c:pt>
                <c:pt idx="232">
                  <c:v>7457.9950877467891</c:v>
                </c:pt>
                <c:pt idx="233">
                  <c:v>9305.3918404053966</c:v>
                </c:pt>
                <c:pt idx="234">
                  <c:v>6647.2099583615436</c:v>
                </c:pt>
                <c:pt idx="235">
                  <c:v>6993.2283402064768</c:v>
                </c:pt>
                <c:pt idx="236">
                  <c:v>6743.6332483412243</c:v>
                </c:pt>
                <c:pt idx="237">
                  <c:v>6267.0988178797816</c:v>
                </c:pt>
                <c:pt idx="238">
                  <c:v>6230.4870078301974</c:v>
                </c:pt>
                <c:pt idx="239">
                  <c:v>6831.9011645008486</c:v>
                </c:pt>
                <c:pt idx="240">
                  <c:v>6768.4654048404318</c:v>
                </c:pt>
                <c:pt idx="241">
                  <c:v>6473.1432785408833</c:v>
                </c:pt>
                <c:pt idx="242">
                  <c:v>8020.1812306846568</c:v>
                </c:pt>
                <c:pt idx="243">
                  <c:v>5741.906618767719</c:v>
                </c:pt>
                <c:pt idx="244">
                  <c:v>5671.215931450577</c:v>
                </c:pt>
                <c:pt idx="245">
                  <c:v>6951.8916355110541</c:v>
                </c:pt>
                <c:pt idx="246">
                  <c:v>7451.1535895873858</c:v>
                </c:pt>
                <c:pt idx="247">
                  <c:v>5572.9200454761285</c:v>
                </c:pt>
                <c:pt idx="248">
                  <c:v>6147.0465048775814</c:v>
                </c:pt>
                <c:pt idx="249">
                  <c:v>8011.6134703844336</c:v>
                </c:pt>
                <c:pt idx="250">
                  <c:v>6689.5229173610423</c:v>
                </c:pt>
                <c:pt idx="251">
                  <c:v>7302.1066911782709</c:v>
                </c:pt>
                <c:pt idx="252">
                  <c:v>5773.8521974335399</c:v>
                </c:pt>
                <c:pt idx="253">
                  <c:v>6884.3616832109074</c:v>
                </c:pt>
                <c:pt idx="254">
                  <c:v>6001.5140791772228</c:v>
                </c:pt>
                <c:pt idx="255">
                  <c:v>7148.4577196500231</c:v>
                </c:pt>
                <c:pt idx="256">
                  <c:v>7607.4064319463114</c:v>
                </c:pt>
                <c:pt idx="257">
                  <c:v>8284.973868187235</c:v>
                </c:pt>
                <c:pt idx="258">
                  <c:v>5283.8035846310431</c:v>
                </c:pt>
                <c:pt idx="259">
                  <c:v>6964.2481731070766</c:v>
                </c:pt>
                <c:pt idx="260">
                  <c:v>6159.9122400903179</c:v>
                </c:pt>
                <c:pt idx="261">
                  <c:v>7432.742532910207</c:v>
                </c:pt>
                <c:pt idx="262">
                  <c:v>7988.3357394024915</c:v>
                </c:pt>
                <c:pt idx="263">
                  <c:v>6873.2274129491843</c:v>
                </c:pt>
                <c:pt idx="264">
                  <c:v>6003.8001667945209</c:v>
                </c:pt>
                <c:pt idx="265">
                  <c:v>8652.230639936668</c:v>
                </c:pt>
                <c:pt idx="266">
                  <c:v>5775.8554994844817</c:v>
                </c:pt>
                <c:pt idx="267">
                  <c:v>7304.8143488310034</c:v>
                </c:pt>
                <c:pt idx="268">
                  <c:v>6392.9672615401278</c:v>
                </c:pt>
                <c:pt idx="269">
                  <c:v>8327.2917221540665</c:v>
                </c:pt>
                <c:pt idx="270">
                  <c:v>7446.3239686576844</c:v>
                </c:pt>
                <c:pt idx="271">
                  <c:v>6274.6564048197251</c:v>
                </c:pt>
                <c:pt idx="272">
                  <c:v>5796.83894757087</c:v>
                </c:pt>
                <c:pt idx="273">
                  <c:v>5765.7250346599067</c:v>
                </c:pt>
                <c:pt idx="274">
                  <c:v>7963.568877684067</c:v>
                </c:pt>
                <c:pt idx="275">
                  <c:v>5829.70533712428</c:v>
                </c:pt>
                <c:pt idx="276">
                  <c:v>6817.9511257597078</c:v>
                </c:pt>
                <c:pt idx="277">
                  <c:v>7683.5616947335348</c:v>
                </c:pt>
                <c:pt idx="278">
                  <c:v>4926.791725354853</c:v>
                </c:pt>
                <c:pt idx="279">
                  <c:v>6200.4659225218365</c:v>
                </c:pt>
                <c:pt idx="280">
                  <c:v>5107.0457411395073</c:v>
                </c:pt>
                <c:pt idx="281">
                  <c:v>6134.2214007026178</c:v>
                </c:pt>
                <c:pt idx="282">
                  <c:v>7362.2988347108339</c:v>
                </c:pt>
                <c:pt idx="283">
                  <c:v>6600.2621618668145</c:v>
                </c:pt>
                <c:pt idx="284">
                  <c:v>7826.5414543538263</c:v>
                </c:pt>
                <c:pt idx="285">
                  <c:v>7904.1642886649379</c:v>
                </c:pt>
                <c:pt idx="286">
                  <c:v>5474.5626895495679</c:v>
                </c:pt>
                <c:pt idx="287">
                  <c:v>6602.3811656969465</c:v>
                </c:pt>
                <c:pt idx="288">
                  <c:v>8213.134475128807</c:v>
                </c:pt>
                <c:pt idx="289">
                  <c:v>7377.575925844666</c:v>
                </c:pt>
                <c:pt idx="290">
                  <c:v>5497.5938677573449</c:v>
                </c:pt>
                <c:pt idx="291">
                  <c:v>6271.9769336839636</c:v>
                </c:pt>
                <c:pt idx="292">
                  <c:v>7682.3472342765872</c:v>
                </c:pt>
                <c:pt idx="293">
                  <c:v>6586.17297786155</c:v>
                </c:pt>
                <c:pt idx="294">
                  <c:v>7390.405908266137</c:v>
                </c:pt>
                <c:pt idx="295">
                  <c:v>8759.7950055053279</c:v>
                </c:pt>
                <c:pt idx="296">
                  <c:v>6570.1841490348488</c:v>
                </c:pt>
                <c:pt idx="297">
                  <c:v>7915.0489827772435</c:v>
                </c:pt>
                <c:pt idx="298">
                  <c:v>7480.8161027765364</c:v>
                </c:pt>
                <c:pt idx="299">
                  <c:v>7434.2126695844345</c:v>
                </c:pt>
                <c:pt idx="300">
                  <c:v>6487.9265592805659</c:v>
                </c:pt>
                <c:pt idx="301">
                  <c:v>6458.933181255381</c:v>
                </c:pt>
                <c:pt idx="302">
                  <c:v>6343.9337834118433</c:v>
                </c:pt>
                <c:pt idx="303">
                  <c:v>7959.7834008630598</c:v>
                </c:pt>
                <c:pt idx="304">
                  <c:v>6816.8064730029819</c:v>
                </c:pt>
                <c:pt idx="305">
                  <c:v>7768.6384865633136</c:v>
                </c:pt>
                <c:pt idx="306">
                  <c:v>5112.8257088940391</c:v>
                </c:pt>
                <c:pt idx="307">
                  <c:v>6462.9211739648181</c:v>
                </c:pt>
                <c:pt idx="308">
                  <c:v>7035.7131533661322</c:v>
                </c:pt>
                <c:pt idx="309">
                  <c:v>4623.5764274229077</c:v>
                </c:pt>
                <c:pt idx="310">
                  <c:v>6183.8063010668811</c:v>
                </c:pt>
                <c:pt idx="311">
                  <c:v>5824.9973908408447</c:v>
                </c:pt>
                <c:pt idx="312">
                  <c:v>7834.8955174108187</c:v>
                </c:pt>
                <c:pt idx="313">
                  <c:v>7347.0479352301763</c:v>
                </c:pt>
                <c:pt idx="314">
                  <c:v>9357.8667311691697</c:v>
                </c:pt>
                <c:pt idx="315">
                  <c:v>7936.7119901376491</c:v>
                </c:pt>
                <c:pt idx="316">
                  <c:v>7978.8179547866966</c:v>
                </c:pt>
                <c:pt idx="317">
                  <c:v>5191.8056120902866</c:v>
                </c:pt>
                <c:pt idx="318">
                  <c:v>7040.1991188729153</c:v>
                </c:pt>
                <c:pt idx="319">
                  <c:v>7469.0529804167872</c:v>
                </c:pt>
                <c:pt idx="320">
                  <c:v>6484.884960278072</c:v>
                </c:pt>
                <c:pt idx="321">
                  <c:v>7588.8535514500545</c:v>
                </c:pt>
                <c:pt idx="322">
                  <c:v>6015.1987369761082</c:v>
                </c:pt>
                <c:pt idx="323">
                  <c:v>5676.5019512022209</c:v>
                </c:pt>
                <c:pt idx="324">
                  <c:v>6193.5351784674931</c:v>
                </c:pt>
                <c:pt idx="325">
                  <c:v>7361.2545023721796</c:v>
                </c:pt>
                <c:pt idx="326">
                  <c:v>6995.5948629023551</c:v>
                </c:pt>
                <c:pt idx="327">
                  <c:v>6184.1411064448903</c:v>
                </c:pt>
                <c:pt idx="328">
                  <c:v>6922.0928782447609</c:v>
                </c:pt>
                <c:pt idx="329">
                  <c:v>7580.8869647333895</c:v>
                </c:pt>
                <c:pt idx="330">
                  <c:v>8724.4119863909691</c:v>
                </c:pt>
                <c:pt idx="331">
                  <c:v>7728.0993377471486</c:v>
                </c:pt>
                <c:pt idx="332">
                  <c:v>6256.9338201781447</c:v>
                </c:pt>
                <c:pt idx="333">
                  <c:v>8588.1301692233465</c:v>
                </c:pt>
                <c:pt idx="334">
                  <c:v>6560.8103905097068</c:v>
                </c:pt>
                <c:pt idx="335">
                  <c:v>5381.0052387848846</c:v>
                </c:pt>
                <c:pt idx="336">
                  <c:v>6242.5690990534658</c:v>
                </c:pt>
                <c:pt idx="337">
                  <c:v>6536.6622005611862</c:v>
                </c:pt>
                <c:pt idx="338">
                  <c:v>6494.1204776064624</c:v>
                </c:pt>
                <c:pt idx="339">
                  <c:v>5907.1102199472571</c:v>
                </c:pt>
                <c:pt idx="340">
                  <c:v>6857.975165729059</c:v>
                </c:pt>
                <c:pt idx="341">
                  <c:v>6530.3506788754767</c:v>
                </c:pt>
                <c:pt idx="342">
                  <c:v>6317.9797664657308</c:v>
                </c:pt>
                <c:pt idx="343">
                  <c:v>6870.976779015301</c:v>
                </c:pt>
                <c:pt idx="344">
                  <c:v>7658.4718337448867</c:v>
                </c:pt>
                <c:pt idx="345">
                  <c:v>6076.7038840953874</c:v>
                </c:pt>
                <c:pt idx="346">
                  <c:v>6042.3922705878722</c:v>
                </c:pt>
                <c:pt idx="347">
                  <c:v>7202.1512041502538</c:v>
                </c:pt>
                <c:pt idx="348">
                  <c:v>7396.2224678874391</c:v>
                </c:pt>
                <c:pt idx="349">
                  <c:v>6468.9544217983403</c:v>
                </c:pt>
                <c:pt idx="350">
                  <c:v>8160.7579357079194</c:v>
                </c:pt>
                <c:pt idx="351">
                  <c:v>5021.4335370051976</c:v>
                </c:pt>
                <c:pt idx="352">
                  <c:v>9183.5294776554838</c:v>
                </c:pt>
                <c:pt idx="353">
                  <c:v>7708.2990272927645</c:v>
                </c:pt>
                <c:pt idx="354">
                  <c:v>7363.1846722648006</c:v>
                </c:pt>
                <c:pt idx="355">
                  <c:v>9117.4259994755394</c:v>
                </c:pt>
                <c:pt idx="356">
                  <c:v>7393.2399736796451</c:v>
                </c:pt>
                <c:pt idx="357">
                  <c:v>7487.1777305457717</c:v>
                </c:pt>
                <c:pt idx="358">
                  <c:v>8366.1609190032286</c:v>
                </c:pt>
                <c:pt idx="359">
                  <c:v>6498.7656545857026</c:v>
                </c:pt>
                <c:pt idx="360">
                  <c:v>7168.6070062575</c:v>
                </c:pt>
                <c:pt idx="361">
                  <c:v>7338.1729813131096</c:v>
                </c:pt>
                <c:pt idx="362">
                  <c:v>5517.9390393755148</c:v>
                </c:pt>
                <c:pt idx="363">
                  <c:v>6394.5741964808367</c:v>
                </c:pt>
                <c:pt idx="364">
                  <c:v>9002.3136724540873</c:v>
                </c:pt>
                <c:pt idx="365">
                  <c:v>7537.1890970784352</c:v>
                </c:pt>
                <c:pt idx="366">
                  <c:v>7759.4813898427774</c:v>
                </c:pt>
                <c:pt idx="367">
                  <c:v>5743.039480445027</c:v>
                </c:pt>
                <c:pt idx="368">
                  <c:v>5801.1566583464009</c:v>
                </c:pt>
                <c:pt idx="369">
                  <c:v>7645.4111105016254</c:v>
                </c:pt>
                <c:pt idx="370">
                  <c:v>7004.6292969367551</c:v>
                </c:pt>
                <c:pt idx="371">
                  <c:v>7693.8481076311346</c:v>
                </c:pt>
                <c:pt idx="372">
                  <c:v>4954.6987614441496</c:v>
                </c:pt>
                <c:pt idx="373">
                  <c:v>8695.6089303808058</c:v>
                </c:pt>
                <c:pt idx="374">
                  <c:v>7296.1836985117461</c:v>
                </c:pt>
                <c:pt idx="375">
                  <c:v>6889.7854707868355</c:v>
                </c:pt>
                <c:pt idx="376">
                  <c:v>7628.8993623570686</c:v>
                </c:pt>
                <c:pt idx="377">
                  <c:v>6399.4744560807212</c:v>
                </c:pt>
                <c:pt idx="378">
                  <c:v>7935.8270081930586</c:v>
                </c:pt>
                <c:pt idx="379">
                  <c:v>5428.392109028111</c:v>
                </c:pt>
                <c:pt idx="380">
                  <c:v>9004.5695165743109</c:v>
                </c:pt>
                <c:pt idx="381">
                  <c:v>7528.5646529035766</c:v>
                </c:pt>
                <c:pt idx="382">
                  <c:v>9878.0142483642194</c:v>
                </c:pt>
                <c:pt idx="383">
                  <c:v>7686.2921239095213</c:v>
                </c:pt>
                <c:pt idx="384">
                  <c:v>6887.1854584029461</c:v>
                </c:pt>
                <c:pt idx="385">
                  <c:v>7207.6050261703622</c:v>
                </c:pt>
                <c:pt idx="386">
                  <c:v>7554.4680545852516</c:v>
                </c:pt>
                <c:pt idx="387">
                  <c:v>4878.1575534096883</c:v>
                </c:pt>
                <c:pt idx="388">
                  <c:v>7261.7618867857082</c:v>
                </c:pt>
                <c:pt idx="389">
                  <c:v>4184.517339917018</c:v>
                </c:pt>
                <c:pt idx="390">
                  <c:v>4154.4141365961041</c:v>
                </c:pt>
                <c:pt idx="391">
                  <c:v>6327.9003835689327</c:v>
                </c:pt>
                <c:pt idx="392">
                  <c:v>6268.8562582590876</c:v>
                </c:pt>
                <c:pt idx="393">
                  <c:v>6327.7640386622534</c:v>
                </c:pt>
                <c:pt idx="394">
                  <c:v>7171.9184970813258</c:v>
                </c:pt>
                <c:pt idx="395">
                  <c:v>6717.2640638692374</c:v>
                </c:pt>
                <c:pt idx="396">
                  <c:v>6540.390763341873</c:v>
                </c:pt>
                <c:pt idx="397">
                  <c:v>9114.3033033958473</c:v>
                </c:pt>
                <c:pt idx="398">
                  <c:v>7189.8886479885768</c:v>
                </c:pt>
                <c:pt idx="399">
                  <c:v>6761.450941581872</c:v>
                </c:pt>
                <c:pt idx="400">
                  <c:v>7110.2478976813254</c:v>
                </c:pt>
                <c:pt idx="401">
                  <c:v>6329.3893735855136</c:v>
                </c:pt>
                <c:pt idx="402">
                  <c:v>6391.7724378539569</c:v>
                </c:pt>
                <c:pt idx="403">
                  <c:v>6702.8498304206532</c:v>
                </c:pt>
                <c:pt idx="404">
                  <c:v>6793.2784634207392</c:v>
                </c:pt>
                <c:pt idx="405">
                  <c:v>6685.2070005072837</c:v>
                </c:pt>
                <c:pt idx="406">
                  <c:v>7544.1291227410184</c:v>
                </c:pt>
                <c:pt idx="407">
                  <c:v>6553.3016850738895</c:v>
                </c:pt>
                <c:pt idx="408">
                  <c:v>6614.614166447509</c:v>
                </c:pt>
                <c:pt idx="409">
                  <c:v>6907.2544010629972</c:v>
                </c:pt>
                <c:pt idx="410">
                  <c:v>6772.0622540635904</c:v>
                </c:pt>
                <c:pt idx="411">
                  <c:v>7561.8248825817736</c:v>
                </c:pt>
                <c:pt idx="412">
                  <c:v>6853.4276672751676</c:v>
                </c:pt>
                <c:pt idx="413">
                  <c:v>8108.8012213304446</c:v>
                </c:pt>
                <c:pt idx="414">
                  <c:v>7187.3514099192289</c:v>
                </c:pt>
                <c:pt idx="415">
                  <c:v>9630.9687371145774</c:v>
                </c:pt>
                <c:pt idx="416">
                  <c:v>7465.5763111115684</c:v>
                </c:pt>
                <c:pt idx="417">
                  <c:v>6718.6207970084524</c:v>
                </c:pt>
                <c:pt idx="418">
                  <c:v>5240.7299731634266</c:v>
                </c:pt>
                <c:pt idx="419">
                  <c:v>5547.4195364867046</c:v>
                </c:pt>
                <c:pt idx="420">
                  <c:v>7923.5079046553292</c:v>
                </c:pt>
                <c:pt idx="421">
                  <c:v>6366.6068197049353</c:v>
                </c:pt>
                <c:pt idx="422">
                  <c:v>6337.6734453580721</c:v>
                </c:pt>
                <c:pt idx="423">
                  <c:v>5666.8661851439174</c:v>
                </c:pt>
                <c:pt idx="424">
                  <c:v>6370.4953999529753</c:v>
                </c:pt>
                <c:pt idx="425">
                  <c:v>6163.3204509074712</c:v>
                </c:pt>
                <c:pt idx="426">
                  <c:v>8393.1784932293413</c:v>
                </c:pt>
                <c:pt idx="427">
                  <c:v>6545.3418001305181</c:v>
                </c:pt>
                <c:pt idx="428">
                  <c:v>7102.54324408703</c:v>
                </c:pt>
                <c:pt idx="429">
                  <c:v>8758.6383792847409</c:v>
                </c:pt>
                <c:pt idx="430">
                  <c:v>5513.5024842617058</c:v>
                </c:pt>
                <c:pt idx="431">
                  <c:v>8164.724493216032</c:v>
                </c:pt>
                <c:pt idx="432">
                  <c:v>7192.0532324733285</c:v>
                </c:pt>
                <c:pt idx="433">
                  <c:v>6385.5455388367754</c:v>
                </c:pt>
                <c:pt idx="434">
                  <c:v>6189.8052881649073</c:v>
                </c:pt>
                <c:pt idx="435">
                  <c:v>5216.1284808384917</c:v>
                </c:pt>
                <c:pt idx="436">
                  <c:v>6342.8897511067244</c:v>
                </c:pt>
                <c:pt idx="437">
                  <c:v>7343.1295604996858</c:v>
                </c:pt>
                <c:pt idx="438">
                  <c:v>5989.9527811063053</c:v>
                </c:pt>
                <c:pt idx="439">
                  <c:v>6546.3167081278771</c:v>
                </c:pt>
                <c:pt idx="440">
                  <c:v>7225.3336712070941</c:v>
                </c:pt>
                <c:pt idx="441">
                  <c:v>6647.3541278099419</c:v>
                </c:pt>
                <c:pt idx="442">
                  <c:v>7900.3451281732559</c:v>
                </c:pt>
                <c:pt idx="443">
                  <c:v>6895.7073451080814</c:v>
                </c:pt>
                <c:pt idx="444">
                  <c:v>6955.2915490645519</c:v>
                </c:pt>
                <c:pt idx="445">
                  <c:v>6555.4128088166381</c:v>
                </c:pt>
                <c:pt idx="446">
                  <c:v>6952.0451799212951</c:v>
                </c:pt>
                <c:pt idx="447">
                  <c:v>6395.363349313935</c:v>
                </c:pt>
                <c:pt idx="448">
                  <c:v>7129.6540786485311</c:v>
                </c:pt>
                <c:pt idx="449">
                  <c:v>7653.4334983665467</c:v>
                </c:pt>
                <c:pt idx="450">
                  <c:v>6710.3474904539125</c:v>
                </c:pt>
                <c:pt idx="451">
                  <c:v>5450.4639543290104</c:v>
                </c:pt>
                <c:pt idx="452">
                  <c:v>7303.3989684732878</c:v>
                </c:pt>
                <c:pt idx="453">
                  <c:v>8332.3768474836506</c:v>
                </c:pt>
                <c:pt idx="454">
                  <c:v>6601.7217890610318</c:v>
                </c:pt>
                <c:pt idx="455">
                  <c:v>8203.636970495776</c:v>
                </c:pt>
                <c:pt idx="456">
                  <c:v>5627.1464689639906</c:v>
                </c:pt>
                <c:pt idx="457">
                  <c:v>6243.7097371143846</c:v>
                </c:pt>
                <c:pt idx="458">
                  <c:v>4433.0702593468159</c:v>
                </c:pt>
                <c:pt idx="459">
                  <c:v>8907.4806957170749</c:v>
                </c:pt>
                <c:pt idx="460">
                  <c:v>5995.6683413460942</c:v>
                </c:pt>
                <c:pt idx="461">
                  <c:v>8064.6446106141921</c:v>
                </c:pt>
                <c:pt idx="462">
                  <c:v>9130.5415673361586</c:v>
                </c:pt>
                <c:pt idx="463">
                  <c:v>5516.7636258086968</c:v>
                </c:pt>
                <c:pt idx="464">
                  <c:v>6761.7601012756859</c:v>
                </c:pt>
                <c:pt idx="465">
                  <c:v>7912.8800958229685</c:v>
                </c:pt>
                <c:pt idx="466">
                  <c:v>5898.6431553633083</c:v>
                </c:pt>
                <c:pt idx="467">
                  <c:v>6479.7943556300088</c:v>
                </c:pt>
                <c:pt idx="468">
                  <c:v>5946.7074844345825</c:v>
                </c:pt>
                <c:pt idx="469">
                  <c:v>7438.8991357192426</c:v>
                </c:pt>
                <c:pt idx="470">
                  <c:v>8375.5459523033023</c:v>
                </c:pt>
                <c:pt idx="471">
                  <c:v>7242.6877266513757</c:v>
                </c:pt>
                <c:pt idx="472">
                  <c:v>4870.3500958405384</c:v>
                </c:pt>
                <c:pt idx="473">
                  <c:v>6977.8383025760886</c:v>
                </c:pt>
                <c:pt idx="474">
                  <c:v>6289.1464267558313</c:v>
                </c:pt>
                <c:pt idx="475">
                  <c:v>6891.4913029392228</c:v>
                </c:pt>
                <c:pt idx="476">
                  <c:v>7364.2389836734419</c:v>
                </c:pt>
                <c:pt idx="477">
                  <c:v>5531.4257683747255</c:v>
                </c:pt>
                <c:pt idx="478">
                  <c:v>7411.8250924362419</c:v>
                </c:pt>
                <c:pt idx="479">
                  <c:v>5921.7007753180187</c:v>
                </c:pt>
                <c:pt idx="480">
                  <c:v>5820.6716785159788</c:v>
                </c:pt>
                <c:pt idx="481">
                  <c:v>8488.4221225854362</c:v>
                </c:pt>
                <c:pt idx="482">
                  <c:v>5582.9011102769273</c:v>
                </c:pt>
                <c:pt idx="483">
                  <c:v>8128.4749275839258</c:v>
                </c:pt>
                <c:pt idx="484">
                  <c:v>7470.6840310381594</c:v>
                </c:pt>
                <c:pt idx="485">
                  <c:v>8273.2225335037438</c:v>
                </c:pt>
                <c:pt idx="486">
                  <c:v>6713.3357317718237</c:v>
                </c:pt>
                <c:pt idx="487">
                  <c:v>4770.6042682448588</c:v>
                </c:pt>
                <c:pt idx="488">
                  <c:v>6384.5362295229479</c:v>
                </c:pt>
                <c:pt idx="489">
                  <c:v>7369.2202290705391</c:v>
                </c:pt>
                <c:pt idx="490">
                  <c:v>8150.9556573211557</c:v>
                </c:pt>
                <c:pt idx="491">
                  <c:v>7382.9648784114988</c:v>
                </c:pt>
                <c:pt idx="492">
                  <c:v>5898.9099864570835</c:v>
                </c:pt>
                <c:pt idx="493">
                  <c:v>6977.5780556476329</c:v>
                </c:pt>
                <c:pt idx="494">
                  <c:v>6943.3036689963337</c:v>
                </c:pt>
                <c:pt idx="495">
                  <c:v>7074.6646313595193</c:v>
                </c:pt>
                <c:pt idx="496">
                  <c:v>6634.4577216784364</c:v>
                </c:pt>
                <c:pt idx="497">
                  <c:v>8908.9505158204629</c:v>
                </c:pt>
                <c:pt idx="498">
                  <c:v>6047.7836535098259</c:v>
                </c:pt>
                <c:pt idx="499">
                  <c:v>6879.3729422809174</c:v>
                </c:pt>
                <c:pt idx="500">
                  <c:v>5138.2188199471493</c:v>
                </c:pt>
                <c:pt idx="501">
                  <c:v>6815.3118857290065</c:v>
                </c:pt>
                <c:pt idx="502">
                  <c:v>7857.1237758608677</c:v>
                </c:pt>
                <c:pt idx="503">
                  <c:v>7032.8486239828935</c:v>
                </c:pt>
                <c:pt idx="504">
                  <c:v>6963.1707010226091</c:v>
                </c:pt>
                <c:pt idx="505">
                  <c:v>6635.2984740444972</c:v>
                </c:pt>
                <c:pt idx="506">
                  <c:v>8793.253756726197</c:v>
                </c:pt>
                <c:pt idx="507">
                  <c:v>5333.2771818517849</c:v>
                </c:pt>
                <c:pt idx="508">
                  <c:v>5988.8249002060911</c:v>
                </c:pt>
                <c:pt idx="509">
                  <c:v>5487.6827141505892</c:v>
                </c:pt>
                <c:pt idx="510">
                  <c:v>7830.1927659930589</c:v>
                </c:pt>
                <c:pt idx="511">
                  <c:v>7641.8771602719789</c:v>
                </c:pt>
                <c:pt idx="512">
                  <c:v>7313.9606097011474</c:v>
                </c:pt>
                <c:pt idx="513">
                  <c:v>6886.3662426326891</c:v>
                </c:pt>
                <c:pt idx="514">
                  <c:v>6798.6000337056103</c:v>
                </c:pt>
                <c:pt idx="515">
                  <c:v>8567.1467015325179</c:v>
                </c:pt>
                <c:pt idx="516">
                  <c:v>7541.0091375180482</c:v>
                </c:pt>
                <c:pt idx="517">
                  <c:v>5510.4662818628967</c:v>
                </c:pt>
                <c:pt idx="518">
                  <c:v>8256.5288317401064</c:v>
                </c:pt>
                <c:pt idx="519">
                  <c:v>6691.2335053128591</c:v>
                </c:pt>
                <c:pt idx="520">
                  <c:v>8184.4948201339521</c:v>
                </c:pt>
                <c:pt idx="521">
                  <c:v>5145.4356977278285</c:v>
                </c:pt>
                <c:pt idx="522">
                  <c:v>6297.6694857409711</c:v>
                </c:pt>
                <c:pt idx="523">
                  <c:v>7303.5263789168775</c:v>
                </c:pt>
                <c:pt idx="524">
                  <c:v>6829.7589422781493</c:v>
                </c:pt>
                <c:pt idx="525">
                  <c:v>7531.7937624891347</c:v>
                </c:pt>
                <c:pt idx="526">
                  <c:v>6311.2526710908642</c:v>
                </c:pt>
                <c:pt idx="527">
                  <c:v>6488.9198675856132</c:v>
                </c:pt>
                <c:pt idx="528">
                  <c:v>6108.738324745018</c:v>
                </c:pt>
                <c:pt idx="529">
                  <c:v>6684.2750185540772</c:v>
                </c:pt>
                <c:pt idx="530">
                  <c:v>5231.8888356607167</c:v>
                </c:pt>
                <c:pt idx="531">
                  <c:v>5299.9525339364354</c:v>
                </c:pt>
                <c:pt idx="532">
                  <c:v>6840.8218327803552</c:v>
                </c:pt>
                <c:pt idx="533">
                  <c:v>7541.0010522546272</c:v>
                </c:pt>
                <c:pt idx="534">
                  <c:v>6542.7632205201135</c:v>
                </c:pt>
                <c:pt idx="535">
                  <c:v>5834.3847161827698</c:v>
                </c:pt>
                <c:pt idx="536">
                  <c:v>8050.3888397212322</c:v>
                </c:pt>
                <c:pt idx="537">
                  <c:v>8668.5543366701895</c:v>
                </c:pt>
                <c:pt idx="538">
                  <c:v>9157.0715871471511</c:v>
                </c:pt>
                <c:pt idx="539">
                  <c:v>6717.8558660027602</c:v>
                </c:pt>
                <c:pt idx="540">
                  <c:v>5640.8740381017378</c:v>
                </c:pt>
                <c:pt idx="541">
                  <c:v>8549.0688441399416</c:v>
                </c:pt>
                <c:pt idx="542">
                  <c:v>7570.9180953904761</c:v>
                </c:pt>
                <c:pt idx="543">
                  <c:v>6774.8010868422825</c:v>
                </c:pt>
                <c:pt idx="544">
                  <c:v>6590.0156312044073</c:v>
                </c:pt>
                <c:pt idx="545">
                  <c:v>7793.9323789904556</c:v>
                </c:pt>
                <c:pt idx="546">
                  <c:v>7083.714330532508</c:v>
                </c:pt>
                <c:pt idx="547">
                  <c:v>6376.5735282420028</c:v>
                </c:pt>
                <c:pt idx="548">
                  <c:v>5475.8637949715685</c:v>
                </c:pt>
                <c:pt idx="549">
                  <c:v>7686.4928276722549</c:v>
                </c:pt>
                <c:pt idx="550">
                  <c:v>6626.3164317565188</c:v>
                </c:pt>
                <c:pt idx="551">
                  <c:v>8117.3254199555176</c:v>
                </c:pt>
                <c:pt idx="552">
                  <c:v>6865.2307529242335</c:v>
                </c:pt>
                <c:pt idx="553">
                  <c:v>6111.7532136126611</c:v>
                </c:pt>
                <c:pt idx="554">
                  <c:v>7039.5244625159485</c:v>
                </c:pt>
                <c:pt idx="555">
                  <c:v>7638.1267252373164</c:v>
                </c:pt>
                <c:pt idx="556">
                  <c:v>7298.999691800791</c:v>
                </c:pt>
                <c:pt idx="557">
                  <c:v>6686.9888253986837</c:v>
                </c:pt>
                <c:pt idx="558">
                  <c:v>8517.2789767449449</c:v>
                </c:pt>
                <c:pt idx="559">
                  <c:v>5805.7005447451975</c:v>
                </c:pt>
                <c:pt idx="560">
                  <c:v>7088.5749943206883</c:v>
                </c:pt>
                <c:pt idx="561">
                  <c:v>6009.676236498226</c:v>
                </c:pt>
                <c:pt idx="562">
                  <c:v>6483.1973778761585</c:v>
                </c:pt>
                <c:pt idx="563">
                  <c:v>7867.0590085865642</c:v>
                </c:pt>
                <c:pt idx="564">
                  <c:v>5582.5463885450135</c:v>
                </c:pt>
                <c:pt idx="565">
                  <c:v>7205.6510036806458</c:v>
                </c:pt>
                <c:pt idx="566">
                  <c:v>7105.8643407493837</c:v>
                </c:pt>
                <c:pt idx="567">
                  <c:v>6515.3899607072071</c:v>
                </c:pt>
                <c:pt idx="568">
                  <c:v>6424.077162670621</c:v>
                </c:pt>
                <c:pt idx="569">
                  <c:v>6981.1779009407237</c:v>
                </c:pt>
                <c:pt idx="570">
                  <c:v>9018.6975017330096</c:v>
                </c:pt>
                <c:pt idx="571">
                  <c:v>8942.3228808619879</c:v>
                </c:pt>
                <c:pt idx="572">
                  <c:v>6960.1640100506338</c:v>
                </c:pt>
                <c:pt idx="573">
                  <c:v>6769.616598277471</c:v>
                </c:pt>
                <c:pt idx="574">
                  <c:v>7198.3373473896463</c:v>
                </c:pt>
                <c:pt idx="575">
                  <c:v>6578.7715215018197</c:v>
                </c:pt>
                <c:pt idx="576">
                  <c:v>8369.6753799347662</c:v>
                </c:pt>
                <c:pt idx="577">
                  <c:v>7249.2704741245161</c:v>
                </c:pt>
                <c:pt idx="578">
                  <c:v>7431.2081757138785</c:v>
                </c:pt>
                <c:pt idx="579">
                  <c:v>9821.4450802740921</c:v>
                </c:pt>
                <c:pt idx="580">
                  <c:v>7887.3150984783042</c:v>
                </c:pt>
                <c:pt idx="581">
                  <c:v>8468.3802738224495</c:v>
                </c:pt>
                <c:pt idx="582">
                  <c:v>7470.0427068647268</c:v>
                </c:pt>
                <c:pt idx="583">
                  <c:v>6613.3520014107744</c:v>
                </c:pt>
                <c:pt idx="584">
                  <c:v>6429.6539808121815</c:v>
                </c:pt>
                <c:pt idx="585">
                  <c:v>7314.0795037762782</c:v>
                </c:pt>
                <c:pt idx="586">
                  <c:v>5917.2503137204876</c:v>
                </c:pt>
                <c:pt idx="587">
                  <c:v>6452.1136262407126</c:v>
                </c:pt>
                <c:pt idx="588">
                  <c:v>6607.6742834743673</c:v>
                </c:pt>
                <c:pt idx="589">
                  <c:v>5298.2115808787785</c:v>
                </c:pt>
                <c:pt idx="590">
                  <c:v>7480.0171612152471</c:v>
                </c:pt>
                <c:pt idx="591">
                  <c:v>8093.2669508020554</c:v>
                </c:pt>
                <c:pt idx="592">
                  <c:v>7122.4339703310998</c:v>
                </c:pt>
                <c:pt idx="593">
                  <c:v>6258.3398832436378</c:v>
                </c:pt>
                <c:pt idx="594">
                  <c:v>5732.9658096751973</c:v>
                </c:pt>
                <c:pt idx="595">
                  <c:v>6570.6213743472927</c:v>
                </c:pt>
                <c:pt idx="596">
                  <c:v>6634.9402160729114</c:v>
                </c:pt>
                <c:pt idx="597">
                  <c:v>7182.1907469244798</c:v>
                </c:pt>
                <c:pt idx="598">
                  <c:v>7471.0938104846464</c:v>
                </c:pt>
                <c:pt idx="599">
                  <c:v>7442.2616664322832</c:v>
                </c:pt>
                <c:pt idx="600">
                  <c:v>7919.2826048147745</c:v>
                </c:pt>
                <c:pt idx="601">
                  <c:v>6482.2905996937807</c:v>
                </c:pt>
                <c:pt idx="602">
                  <c:v>7241.6118348058608</c:v>
                </c:pt>
                <c:pt idx="603">
                  <c:v>5799.4840330449988</c:v>
                </c:pt>
                <c:pt idx="604">
                  <c:v>6972.8266588344577</c:v>
                </c:pt>
                <c:pt idx="605">
                  <c:v>8880.4298668350439</c:v>
                </c:pt>
                <c:pt idx="606">
                  <c:v>5844.5759569345119</c:v>
                </c:pt>
                <c:pt idx="607">
                  <c:v>7283.5370061846661</c:v>
                </c:pt>
                <c:pt idx="608">
                  <c:v>6257.1203456576795</c:v>
                </c:pt>
                <c:pt idx="609">
                  <c:v>7147.8311589181794</c:v>
                </c:pt>
                <c:pt idx="610">
                  <c:v>6688.8531175668322</c:v>
                </c:pt>
                <c:pt idx="611">
                  <c:v>8682.2023780116615</c:v>
                </c:pt>
                <c:pt idx="612">
                  <c:v>6665.4575378102836</c:v>
                </c:pt>
                <c:pt idx="613">
                  <c:v>5109.1276337697273</c:v>
                </c:pt>
                <c:pt idx="614">
                  <c:v>5882.2675019822964</c:v>
                </c:pt>
                <c:pt idx="615">
                  <c:v>6833.3949303953486</c:v>
                </c:pt>
                <c:pt idx="616">
                  <c:v>7103.6803901513958</c:v>
                </c:pt>
                <c:pt idx="617">
                  <c:v>7189.5465204634156</c:v>
                </c:pt>
                <c:pt idx="618">
                  <c:v>6772.927871518883</c:v>
                </c:pt>
                <c:pt idx="619">
                  <c:v>6902.4777996549892</c:v>
                </c:pt>
                <c:pt idx="620">
                  <c:v>6250.1886402616401</c:v>
                </c:pt>
                <c:pt idx="621">
                  <c:v>6293.9928456508551</c:v>
                </c:pt>
                <c:pt idx="622">
                  <c:v>6392.2556596947306</c:v>
                </c:pt>
                <c:pt idx="623">
                  <c:v>8887.3762514264236</c:v>
                </c:pt>
                <c:pt idx="624">
                  <c:v>6511.9885545941725</c:v>
                </c:pt>
                <c:pt idx="625">
                  <c:v>6332.6076021863655</c:v>
                </c:pt>
                <c:pt idx="626">
                  <c:v>7527.229687077619</c:v>
                </c:pt>
                <c:pt idx="627">
                  <c:v>5942.5682066275567</c:v>
                </c:pt>
                <c:pt idx="628">
                  <c:v>6272.5072758875649</c:v>
                </c:pt>
                <c:pt idx="629">
                  <c:v>6499.8695766910278</c:v>
                </c:pt>
                <c:pt idx="630">
                  <c:v>6772.6938680667481</c:v>
                </c:pt>
                <c:pt idx="631">
                  <c:v>7981.6209814461163</c:v>
                </c:pt>
                <c:pt idx="632">
                  <c:v>6689.8535093137889</c:v>
                </c:pt>
                <c:pt idx="633">
                  <c:v>6132.8571275047925</c:v>
                </c:pt>
                <c:pt idx="634">
                  <c:v>8124.8863428040695</c:v>
                </c:pt>
                <c:pt idx="635">
                  <c:v>9378.2863518987178</c:v>
                </c:pt>
                <c:pt idx="636">
                  <c:v>5109.4819184956268</c:v>
                </c:pt>
                <c:pt idx="637">
                  <c:v>8692.3060494796646</c:v>
                </c:pt>
                <c:pt idx="638">
                  <c:v>7173.941955264685</c:v>
                </c:pt>
                <c:pt idx="639">
                  <c:v>6647.246080709001</c:v>
                </c:pt>
                <c:pt idx="640">
                  <c:v>7160.246878708298</c:v>
                </c:pt>
                <c:pt idx="641">
                  <c:v>6818.6034509599995</c:v>
                </c:pt>
                <c:pt idx="642">
                  <c:v>7400.6351147345576</c:v>
                </c:pt>
                <c:pt idx="643">
                  <c:v>8620.6862083611741</c:v>
                </c:pt>
                <c:pt idx="644">
                  <c:v>7833.6867151149727</c:v>
                </c:pt>
                <c:pt idx="645">
                  <c:v>5793.8563179171797</c:v>
                </c:pt>
                <c:pt idx="646">
                  <c:v>6114.1603169334376</c:v>
                </c:pt>
                <c:pt idx="647">
                  <c:v>6800.4616802567862</c:v>
                </c:pt>
                <c:pt idx="648">
                  <c:v>8671.3639319004997</c:v>
                </c:pt>
                <c:pt idx="649">
                  <c:v>7306.9996829465263</c:v>
                </c:pt>
                <c:pt idx="650">
                  <c:v>7324.8153486067895</c:v>
                </c:pt>
                <c:pt idx="651">
                  <c:v>6894.5533864531008</c:v>
                </c:pt>
                <c:pt idx="652">
                  <c:v>9558.3362894986549</c:v>
                </c:pt>
                <c:pt idx="653">
                  <c:v>8089.6755729822826</c:v>
                </c:pt>
                <c:pt idx="654">
                  <c:v>6205.874428191999</c:v>
                </c:pt>
                <c:pt idx="655">
                  <c:v>7412.4674783759401</c:v>
                </c:pt>
                <c:pt idx="656">
                  <c:v>7803.6941604338863</c:v>
                </c:pt>
                <c:pt idx="657">
                  <c:v>7007.8826666457917</c:v>
                </c:pt>
                <c:pt idx="658">
                  <c:v>6817.3492348936106</c:v>
                </c:pt>
                <c:pt idx="659">
                  <c:v>6469.6759354528658</c:v>
                </c:pt>
                <c:pt idx="660">
                  <c:v>7025.6012764910029</c:v>
                </c:pt>
                <c:pt idx="661">
                  <c:v>6208.180279923954</c:v>
                </c:pt>
                <c:pt idx="662">
                  <c:v>8694.3253208142232</c:v>
                </c:pt>
                <c:pt idx="663">
                  <c:v>6771.6026396137258</c:v>
                </c:pt>
                <c:pt idx="664">
                  <c:v>8262.1837262136705</c:v>
                </c:pt>
                <c:pt idx="665">
                  <c:v>7515.3422939928714</c:v>
                </c:pt>
                <c:pt idx="666">
                  <c:v>5587.7358790580129</c:v>
                </c:pt>
                <c:pt idx="667">
                  <c:v>5352.8317221045472</c:v>
                </c:pt>
                <c:pt idx="668">
                  <c:v>7737.1510262625807</c:v>
                </c:pt>
                <c:pt idx="669">
                  <c:v>5612.5527805460933</c:v>
                </c:pt>
                <c:pt idx="670">
                  <c:v>5264.1969802346994</c:v>
                </c:pt>
                <c:pt idx="671">
                  <c:v>6991.3235016170274</c:v>
                </c:pt>
                <c:pt idx="672">
                  <c:v>4187.2631505447662</c:v>
                </c:pt>
                <c:pt idx="673">
                  <c:v>6234.7336154170753</c:v>
                </c:pt>
                <c:pt idx="674">
                  <c:v>5612.9320914446744</c:v>
                </c:pt>
                <c:pt idx="675">
                  <c:v>8050.5041591064582</c:v>
                </c:pt>
                <c:pt idx="676">
                  <c:v>8547.9228581423758</c:v>
                </c:pt>
                <c:pt idx="677">
                  <c:v>6808.4812130873943</c:v>
                </c:pt>
                <c:pt idx="678">
                  <c:v>8022.2553192783889</c:v>
                </c:pt>
                <c:pt idx="679">
                  <c:v>6788.0813458174252</c:v>
                </c:pt>
                <c:pt idx="680">
                  <c:v>6092.4938297726876</c:v>
                </c:pt>
                <c:pt idx="681">
                  <c:v>7833.6080860992242</c:v>
                </c:pt>
                <c:pt idx="682">
                  <c:v>7848.022083936492</c:v>
                </c:pt>
                <c:pt idx="683">
                  <c:v>8502.0306679298374</c:v>
                </c:pt>
                <c:pt idx="684">
                  <c:v>8203.5426295757989</c:v>
                </c:pt>
                <c:pt idx="685">
                  <c:v>6770.6912282502808</c:v>
                </c:pt>
                <c:pt idx="686">
                  <c:v>6809.9401861880469</c:v>
                </c:pt>
                <c:pt idx="687">
                  <c:v>8339.9477559409934</c:v>
                </c:pt>
                <c:pt idx="688">
                  <c:v>7500.8323282774045</c:v>
                </c:pt>
                <c:pt idx="689">
                  <c:v>6426.9392805103544</c:v>
                </c:pt>
                <c:pt idx="690">
                  <c:v>6992.7368975137506</c:v>
                </c:pt>
                <c:pt idx="691">
                  <c:v>8323.6070791069924</c:v>
                </c:pt>
                <c:pt idx="692">
                  <c:v>5062.1371046678141</c:v>
                </c:pt>
                <c:pt idx="693">
                  <c:v>6694.602380608454</c:v>
                </c:pt>
                <c:pt idx="694">
                  <c:v>7847.3046444697738</c:v>
                </c:pt>
                <c:pt idx="695">
                  <c:v>5837.9537086455603</c:v>
                </c:pt>
                <c:pt idx="696">
                  <c:v>6468.3704242813874</c:v>
                </c:pt>
                <c:pt idx="697">
                  <c:v>5205.9879641299121</c:v>
                </c:pt>
                <c:pt idx="698">
                  <c:v>7827.4116687818041</c:v>
                </c:pt>
                <c:pt idx="699">
                  <c:v>8358.5574558913831</c:v>
                </c:pt>
                <c:pt idx="700">
                  <c:v>7944.5797913717888</c:v>
                </c:pt>
                <c:pt idx="701">
                  <c:v>7578.3456142984778</c:v>
                </c:pt>
                <c:pt idx="702">
                  <c:v>6950.1592340726929</c:v>
                </c:pt>
                <c:pt idx="703">
                  <c:v>7543.4191535696991</c:v>
                </c:pt>
                <c:pt idx="704">
                  <c:v>7338.0453519977873</c:v>
                </c:pt>
                <c:pt idx="705">
                  <c:v>8045.5352563613042</c:v>
                </c:pt>
                <c:pt idx="706">
                  <c:v>6420.0432808670012</c:v>
                </c:pt>
                <c:pt idx="707">
                  <c:v>8332.5051288465602</c:v>
                </c:pt>
                <c:pt idx="708">
                  <c:v>5348.9641308968385</c:v>
                </c:pt>
                <c:pt idx="709">
                  <c:v>7114.9802913675849</c:v>
                </c:pt>
                <c:pt idx="710">
                  <c:v>6371.5242139247766</c:v>
                </c:pt>
                <c:pt idx="711">
                  <c:v>4239.0556966471195</c:v>
                </c:pt>
                <c:pt idx="712">
                  <c:v>8134.5498672521044</c:v>
                </c:pt>
                <c:pt idx="713">
                  <c:v>6502.7432473141316</c:v>
                </c:pt>
                <c:pt idx="714">
                  <c:v>6910.5480339719761</c:v>
                </c:pt>
                <c:pt idx="715">
                  <c:v>5799.3146950018581</c:v>
                </c:pt>
                <c:pt idx="716">
                  <c:v>6437.0517296391481</c:v>
                </c:pt>
                <c:pt idx="717">
                  <c:v>7622.4313040414272</c:v>
                </c:pt>
                <c:pt idx="718">
                  <c:v>6707.2158863930854</c:v>
                </c:pt>
                <c:pt idx="719">
                  <c:v>5923.9662088757559</c:v>
                </c:pt>
                <c:pt idx="720">
                  <c:v>7545.2917562882776</c:v>
                </c:pt>
                <c:pt idx="721">
                  <c:v>8013.7058703077255</c:v>
                </c:pt>
                <c:pt idx="722">
                  <c:v>6382.5560049677551</c:v>
                </c:pt>
                <c:pt idx="723">
                  <c:v>7594.6359518304462</c:v>
                </c:pt>
                <c:pt idx="724">
                  <c:v>6251.8865106336507</c:v>
                </c:pt>
                <c:pt idx="725">
                  <c:v>8060.5606664469742</c:v>
                </c:pt>
                <c:pt idx="726">
                  <c:v>6278.6107762683459</c:v>
                </c:pt>
                <c:pt idx="727">
                  <c:v>6652.3151780424287</c:v>
                </c:pt>
                <c:pt idx="728">
                  <c:v>7461.9756327921641</c:v>
                </c:pt>
                <c:pt idx="729">
                  <c:v>7488.1743895396539</c:v>
                </c:pt>
                <c:pt idx="730">
                  <c:v>7508.3511769399865</c:v>
                </c:pt>
                <c:pt idx="731">
                  <c:v>6632.9447343385891</c:v>
                </c:pt>
                <c:pt idx="732">
                  <c:v>6839.4096113023679</c:v>
                </c:pt>
                <c:pt idx="733">
                  <c:v>6980.1088452553813</c:v>
                </c:pt>
                <c:pt idx="734">
                  <c:v>4390.1844352197641</c:v>
                </c:pt>
                <c:pt idx="735">
                  <c:v>6821.0863665069337</c:v>
                </c:pt>
                <c:pt idx="736">
                  <c:v>5321.8751754621353</c:v>
                </c:pt>
                <c:pt idx="737">
                  <c:v>8749.2316498802684</c:v>
                </c:pt>
                <c:pt idx="738">
                  <c:v>5676.9284458453058</c:v>
                </c:pt>
                <c:pt idx="739">
                  <c:v>7036.5079121713406</c:v>
                </c:pt>
                <c:pt idx="740">
                  <c:v>6727.2669686165245</c:v>
                </c:pt>
                <c:pt idx="741">
                  <c:v>6428.6346592513182</c:v>
                </c:pt>
                <c:pt idx="742">
                  <c:v>6666.7151328628224</c:v>
                </c:pt>
                <c:pt idx="743">
                  <c:v>8163.3926239006942</c:v>
                </c:pt>
                <c:pt idx="744">
                  <c:v>6873.9336832780027</c:v>
                </c:pt>
                <c:pt idx="745">
                  <c:v>8038.2879279503377</c:v>
                </c:pt>
                <c:pt idx="746">
                  <c:v>7327.8952471456887</c:v>
                </c:pt>
                <c:pt idx="747">
                  <c:v>7008.0469315397331</c:v>
                </c:pt>
                <c:pt idx="748">
                  <c:v>6310.3648371963845</c:v>
                </c:pt>
                <c:pt idx="749">
                  <c:v>6465.5059745225481</c:v>
                </c:pt>
                <c:pt idx="750">
                  <c:v>6277.6860315584345</c:v>
                </c:pt>
                <c:pt idx="751">
                  <c:v>8755.1586765977936</c:v>
                </c:pt>
                <c:pt idx="752">
                  <c:v>8216.3394480040297</c:v>
                </c:pt>
                <c:pt idx="753">
                  <c:v>7225.0108689929602</c:v>
                </c:pt>
                <c:pt idx="754">
                  <c:v>5568.6715756259109</c:v>
                </c:pt>
                <c:pt idx="755">
                  <c:v>6757.6970134203202</c:v>
                </c:pt>
                <c:pt idx="756">
                  <c:v>8714.0024584367056</c:v>
                </c:pt>
                <c:pt idx="757">
                  <c:v>8545.2671553787841</c:v>
                </c:pt>
                <c:pt idx="758">
                  <c:v>6357.3148800577455</c:v>
                </c:pt>
                <c:pt idx="759">
                  <c:v>5236.9693942800513</c:v>
                </c:pt>
                <c:pt idx="760">
                  <c:v>6926.8037547447038</c:v>
                </c:pt>
                <c:pt idx="761">
                  <c:v>9647.3043435744657</c:v>
                </c:pt>
                <c:pt idx="762">
                  <c:v>7600.2146296671472</c:v>
                </c:pt>
                <c:pt idx="763">
                  <c:v>8383.6566355412233</c:v>
                </c:pt>
                <c:pt idx="764">
                  <c:v>8756.0995716121488</c:v>
                </c:pt>
                <c:pt idx="765">
                  <c:v>7517.6746699411342</c:v>
                </c:pt>
                <c:pt idx="766">
                  <c:v>7035.7910972620411</c:v>
                </c:pt>
                <c:pt idx="767">
                  <c:v>6244.0414365655652</c:v>
                </c:pt>
                <c:pt idx="768">
                  <c:v>5282.7552859967109</c:v>
                </c:pt>
                <c:pt idx="769">
                  <c:v>7524.918488670075</c:v>
                </c:pt>
                <c:pt idx="770">
                  <c:v>8110.2148225106375</c:v>
                </c:pt>
                <c:pt idx="771">
                  <c:v>8616.9813616347146</c:v>
                </c:pt>
                <c:pt idx="772">
                  <c:v>7159.1891919180416</c:v>
                </c:pt>
                <c:pt idx="773">
                  <c:v>7738.0384610214742</c:v>
                </c:pt>
                <c:pt idx="774">
                  <c:v>8263.4014588227492</c:v>
                </c:pt>
                <c:pt idx="775">
                  <c:v>6787.850634865601</c:v>
                </c:pt>
                <c:pt idx="776">
                  <c:v>7201.0684686379227</c:v>
                </c:pt>
                <c:pt idx="777">
                  <c:v>7779.6339807227123</c:v>
                </c:pt>
                <c:pt idx="778">
                  <c:v>6685.8823983154798</c:v>
                </c:pt>
                <c:pt idx="779">
                  <c:v>7557.9809641849833</c:v>
                </c:pt>
                <c:pt idx="780">
                  <c:v>6267.3733391170263</c:v>
                </c:pt>
                <c:pt idx="781">
                  <c:v>6267.756391810206</c:v>
                </c:pt>
                <c:pt idx="782">
                  <c:v>6478.767727169552</c:v>
                </c:pt>
                <c:pt idx="783">
                  <c:v>7296.975649394466</c:v>
                </c:pt>
                <c:pt idx="784">
                  <c:v>7065.0947908569269</c:v>
                </c:pt>
                <c:pt idx="785">
                  <c:v>6029.4715060166345</c:v>
                </c:pt>
                <c:pt idx="786">
                  <c:v>7157.626526134407</c:v>
                </c:pt>
                <c:pt idx="787">
                  <c:v>7755.3887168479368</c:v>
                </c:pt>
                <c:pt idx="788">
                  <c:v>7224.7265061910148</c:v>
                </c:pt>
                <c:pt idx="789">
                  <c:v>6553.8424388906478</c:v>
                </c:pt>
                <c:pt idx="790">
                  <c:v>8300.5666411241054</c:v>
                </c:pt>
                <c:pt idx="791">
                  <c:v>7658.5359014678197</c:v>
                </c:pt>
                <c:pt idx="792">
                  <c:v>7664.7143772438139</c:v>
                </c:pt>
                <c:pt idx="793">
                  <c:v>4821.7296240056548</c:v>
                </c:pt>
                <c:pt idx="794">
                  <c:v>6750.8744863393104</c:v>
                </c:pt>
                <c:pt idx="795">
                  <c:v>7578.6577295289489</c:v>
                </c:pt>
                <c:pt idx="796">
                  <c:v>6796.906249842079</c:v>
                </c:pt>
                <c:pt idx="797">
                  <c:v>6130.4236919716132</c:v>
                </c:pt>
                <c:pt idx="798">
                  <c:v>9738.1098559309357</c:v>
                </c:pt>
                <c:pt idx="799">
                  <c:v>6075.9766240282934</c:v>
                </c:pt>
                <c:pt idx="800">
                  <c:v>7183.8206257454458</c:v>
                </c:pt>
                <c:pt idx="801">
                  <c:v>8240.9103318258112</c:v>
                </c:pt>
                <c:pt idx="802">
                  <c:v>6567.2211340022459</c:v>
                </c:pt>
                <c:pt idx="803">
                  <c:v>5785.2929161429856</c:v>
                </c:pt>
                <c:pt idx="804">
                  <c:v>7696.8506942464137</c:v>
                </c:pt>
                <c:pt idx="805">
                  <c:v>5708.1238608530239</c:v>
                </c:pt>
                <c:pt idx="806">
                  <c:v>7963.4258762371992</c:v>
                </c:pt>
                <c:pt idx="807">
                  <c:v>7789.336580000092</c:v>
                </c:pt>
                <c:pt idx="808">
                  <c:v>6555.1942426397381</c:v>
                </c:pt>
                <c:pt idx="809">
                  <c:v>6681.7622979931675</c:v>
                </c:pt>
                <c:pt idx="810">
                  <c:v>6718.4659931464303</c:v>
                </c:pt>
                <c:pt idx="811">
                  <c:v>6943.987512292324</c:v>
                </c:pt>
                <c:pt idx="812">
                  <c:v>8099.5014096676332</c:v>
                </c:pt>
                <c:pt idx="813">
                  <c:v>8186.1388066092441</c:v>
                </c:pt>
                <c:pt idx="814">
                  <c:v>7158.1569587012455</c:v>
                </c:pt>
                <c:pt idx="815">
                  <c:v>5687.0387653480302</c:v>
                </c:pt>
                <c:pt idx="816">
                  <c:v>7343.5318590407514</c:v>
                </c:pt>
                <c:pt idx="817">
                  <c:v>5814.3525219791027</c:v>
                </c:pt>
                <c:pt idx="818">
                  <c:v>7567.3943529590606</c:v>
                </c:pt>
                <c:pt idx="819">
                  <c:v>7042.1542295439631</c:v>
                </c:pt>
                <c:pt idx="820">
                  <c:v>7416.8423257506474</c:v>
                </c:pt>
                <c:pt idx="821">
                  <c:v>7015.4291047326751</c:v>
                </c:pt>
                <c:pt idx="822">
                  <c:v>7224.5221057456565</c:v>
                </c:pt>
                <c:pt idx="823">
                  <c:v>6772.573762589398</c:v>
                </c:pt>
                <c:pt idx="824">
                  <c:v>8127.1878706445841</c:v>
                </c:pt>
                <c:pt idx="825">
                  <c:v>6359.3399809796701</c:v>
                </c:pt>
                <c:pt idx="826">
                  <c:v>7822.9548239819514</c:v>
                </c:pt>
                <c:pt idx="827">
                  <c:v>7828.5055187455855</c:v>
                </c:pt>
                <c:pt idx="828">
                  <c:v>8129.5250657050601</c:v>
                </c:pt>
                <c:pt idx="829">
                  <c:v>7136.917545580005</c:v>
                </c:pt>
                <c:pt idx="830">
                  <c:v>8385.8851544825866</c:v>
                </c:pt>
                <c:pt idx="831">
                  <c:v>4372.1595783086723</c:v>
                </c:pt>
                <c:pt idx="832">
                  <c:v>7171.2853036944434</c:v>
                </c:pt>
                <c:pt idx="833">
                  <c:v>7630.1618100761079</c:v>
                </c:pt>
                <c:pt idx="834">
                  <c:v>6135.1846972991334</c:v>
                </c:pt>
                <c:pt idx="835">
                  <c:v>7974.6100493305094</c:v>
                </c:pt>
                <c:pt idx="836">
                  <c:v>8963.7847213818513</c:v>
                </c:pt>
                <c:pt idx="837">
                  <c:v>7231.6893687181546</c:v>
                </c:pt>
                <c:pt idx="838">
                  <c:v>7500.9108025097394</c:v>
                </c:pt>
                <c:pt idx="839">
                  <c:v>7937.7543989758069</c:v>
                </c:pt>
                <c:pt idx="840">
                  <c:v>5861.6416437922453</c:v>
                </c:pt>
                <c:pt idx="841">
                  <c:v>5735.4150892904181</c:v>
                </c:pt>
                <c:pt idx="842">
                  <c:v>4657.4814632535436</c:v>
                </c:pt>
                <c:pt idx="843">
                  <c:v>8640.9775477704407</c:v>
                </c:pt>
                <c:pt idx="844">
                  <c:v>7439.7954314458984</c:v>
                </c:pt>
                <c:pt idx="845">
                  <c:v>6611.043547919724</c:v>
                </c:pt>
                <c:pt idx="846">
                  <c:v>4818.124252704738</c:v>
                </c:pt>
                <c:pt idx="847">
                  <c:v>8332.4505397101057</c:v>
                </c:pt>
                <c:pt idx="848">
                  <c:v>6284.7488776007158</c:v>
                </c:pt>
                <c:pt idx="849">
                  <c:v>7146.1453230080951</c:v>
                </c:pt>
                <c:pt idx="850">
                  <c:v>6869.7848160237481</c:v>
                </c:pt>
                <c:pt idx="851">
                  <c:v>7848.7594958410264</c:v>
                </c:pt>
                <c:pt idx="852">
                  <c:v>6615.8721196807419</c:v>
                </c:pt>
                <c:pt idx="853">
                  <c:v>7781.4883376866419</c:v>
                </c:pt>
                <c:pt idx="854">
                  <c:v>6979.282684118396</c:v>
                </c:pt>
                <c:pt idx="855">
                  <c:v>6189.530665076325</c:v>
                </c:pt>
                <c:pt idx="856">
                  <c:v>6272.7387662898509</c:v>
                </c:pt>
                <c:pt idx="857">
                  <c:v>8510.9774644443114</c:v>
                </c:pt>
                <c:pt idx="858">
                  <c:v>6003.5125133464235</c:v>
                </c:pt>
                <c:pt idx="859">
                  <c:v>7387.842212652864</c:v>
                </c:pt>
                <c:pt idx="860">
                  <c:v>7688.0811239067671</c:v>
                </c:pt>
                <c:pt idx="861">
                  <c:v>9208.2905107993884</c:v>
                </c:pt>
                <c:pt idx="862">
                  <c:v>5468.4422670244603</c:v>
                </c:pt>
                <c:pt idx="863">
                  <c:v>6668.6696832293619</c:v>
                </c:pt>
                <c:pt idx="864">
                  <c:v>6232.0926441056963</c:v>
                </c:pt>
                <c:pt idx="865">
                  <c:v>8837.4831307684908</c:v>
                </c:pt>
                <c:pt idx="866">
                  <c:v>6463.0406058533208</c:v>
                </c:pt>
                <c:pt idx="867">
                  <c:v>6548.2886246479429</c:v>
                </c:pt>
                <c:pt idx="868">
                  <c:v>6161.0913837463286</c:v>
                </c:pt>
                <c:pt idx="869">
                  <c:v>8699.7771529024158</c:v>
                </c:pt>
                <c:pt idx="870">
                  <c:v>8044.684003020262</c:v>
                </c:pt>
                <c:pt idx="871">
                  <c:v>6488.9666395662935</c:v>
                </c:pt>
                <c:pt idx="872">
                  <c:v>7261.99027086975</c:v>
                </c:pt>
                <c:pt idx="873">
                  <c:v>6396.2425951567075</c:v>
                </c:pt>
                <c:pt idx="874">
                  <c:v>6673.4623360382921</c:v>
                </c:pt>
                <c:pt idx="875">
                  <c:v>7873.5141377132559</c:v>
                </c:pt>
                <c:pt idx="876">
                  <c:v>7330.0919079688429</c:v>
                </c:pt>
                <c:pt idx="877">
                  <c:v>7891.4929948508252</c:v>
                </c:pt>
                <c:pt idx="878">
                  <c:v>9440.0884592493549</c:v>
                </c:pt>
                <c:pt idx="879">
                  <c:v>5255.0740251449461</c:v>
                </c:pt>
                <c:pt idx="880">
                  <c:v>6470.8694002959401</c:v>
                </c:pt>
                <c:pt idx="881">
                  <c:v>5683.0863987179164</c:v>
                </c:pt>
                <c:pt idx="882">
                  <c:v>8086.1854672017971</c:v>
                </c:pt>
                <c:pt idx="883">
                  <c:v>6576.6176164494573</c:v>
                </c:pt>
                <c:pt idx="884">
                  <c:v>7929.689077683247</c:v>
                </c:pt>
                <c:pt idx="885">
                  <c:v>8057.5024206967282</c:v>
                </c:pt>
                <c:pt idx="886">
                  <c:v>7921.9420701904055</c:v>
                </c:pt>
                <c:pt idx="887">
                  <c:v>5488.3750235025664</c:v>
                </c:pt>
                <c:pt idx="888">
                  <c:v>6041.3983449786447</c:v>
                </c:pt>
                <c:pt idx="889">
                  <c:v>5845.2103647545973</c:v>
                </c:pt>
                <c:pt idx="890">
                  <c:v>6861.0062804096669</c:v>
                </c:pt>
                <c:pt idx="891">
                  <c:v>6995.9498217757791</c:v>
                </c:pt>
                <c:pt idx="892">
                  <c:v>7387.7866405159566</c:v>
                </c:pt>
                <c:pt idx="893">
                  <c:v>6466.5255038863634</c:v>
                </c:pt>
                <c:pt idx="894">
                  <c:v>6668.0234145569484</c:v>
                </c:pt>
                <c:pt idx="895">
                  <c:v>5573.3748470782484</c:v>
                </c:pt>
                <c:pt idx="896">
                  <c:v>7094.0010792297417</c:v>
                </c:pt>
                <c:pt idx="897">
                  <c:v>8088.7840711250428</c:v>
                </c:pt>
                <c:pt idx="898">
                  <c:v>7505.9169714636464</c:v>
                </c:pt>
                <c:pt idx="899">
                  <c:v>6371.5939232782839</c:v>
                </c:pt>
                <c:pt idx="900">
                  <c:v>7680.6041889773696</c:v>
                </c:pt>
                <c:pt idx="901">
                  <c:v>8032.5777454892777</c:v>
                </c:pt>
                <c:pt idx="902">
                  <c:v>8008.9701582412854</c:v>
                </c:pt>
                <c:pt idx="903">
                  <c:v>7330.1327159458106</c:v>
                </c:pt>
                <c:pt idx="904">
                  <c:v>7757.2105933446474</c:v>
                </c:pt>
                <c:pt idx="905">
                  <c:v>6995.2676987583354</c:v>
                </c:pt>
                <c:pt idx="906">
                  <c:v>6190.6922237574472</c:v>
                </c:pt>
                <c:pt idx="907">
                  <c:v>7025.7761642772257</c:v>
                </c:pt>
                <c:pt idx="908">
                  <c:v>7133.6536234515515</c:v>
                </c:pt>
                <c:pt idx="909">
                  <c:v>5069.1355709216514</c:v>
                </c:pt>
                <c:pt idx="910">
                  <c:v>7220.9431845378531</c:v>
                </c:pt>
                <c:pt idx="911">
                  <c:v>5941.6047010765342</c:v>
                </c:pt>
                <c:pt idx="912">
                  <c:v>7801.2569562442241</c:v>
                </c:pt>
                <c:pt idx="913">
                  <c:v>7103.93777834708</c:v>
                </c:pt>
                <c:pt idx="914">
                  <c:v>5886.3095390267772</c:v>
                </c:pt>
                <c:pt idx="915">
                  <c:v>9022.0653734874304</c:v>
                </c:pt>
                <c:pt idx="916">
                  <c:v>5530.6995449226069</c:v>
                </c:pt>
                <c:pt idx="917">
                  <c:v>7137.3312018023889</c:v>
                </c:pt>
                <c:pt idx="918">
                  <c:v>7773.5775563108218</c:v>
                </c:pt>
                <c:pt idx="919">
                  <c:v>6447.6287447375034</c:v>
                </c:pt>
                <c:pt idx="920">
                  <c:v>7671.3941654706759</c:v>
                </c:pt>
                <c:pt idx="921">
                  <c:v>7278.1097327195985</c:v>
                </c:pt>
                <c:pt idx="922">
                  <c:v>4952.1427999621701</c:v>
                </c:pt>
                <c:pt idx="923">
                  <c:v>8031.8272564485878</c:v>
                </c:pt>
                <c:pt idx="924">
                  <c:v>6851.6403400462696</c:v>
                </c:pt>
                <c:pt idx="925">
                  <c:v>7873.1329855044305</c:v>
                </c:pt>
                <c:pt idx="926">
                  <c:v>7224.8504797643145</c:v>
                </c:pt>
                <c:pt idx="927">
                  <c:v>6198.4104657815024</c:v>
                </c:pt>
                <c:pt idx="928">
                  <c:v>8020.7077243463937</c:v>
                </c:pt>
                <c:pt idx="929">
                  <c:v>7429.5657464908345</c:v>
                </c:pt>
                <c:pt idx="930">
                  <c:v>8349.2009286800821</c:v>
                </c:pt>
                <c:pt idx="931">
                  <c:v>7004.5895718845477</c:v>
                </c:pt>
                <c:pt idx="932">
                  <c:v>8456.7587703209065</c:v>
                </c:pt>
                <c:pt idx="933">
                  <c:v>8062.2912641714302</c:v>
                </c:pt>
                <c:pt idx="934">
                  <c:v>7610.2341251536382</c:v>
                </c:pt>
                <c:pt idx="935">
                  <c:v>7165.3810561744322</c:v>
                </c:pt>
                <c:pt idx="936">
                  <c:v>7169.4266934884872</c:v>
                </c:pt>
                <c:pt idx="937">
                  <c:v>6445.0510371671216</c:v>
                </c:pt>
                <c:pt idx="938">
                  <c:v>6325.0718262054543</c:v>
                </c:pt>
                <c:pt idx="939">
                  <c:v>3951.4320604550467</c:v>
                </c:pt>
                <c:pt idx="940">
                  <c:v>7759.3157729869845</c:v>
                </c:pt>
                <c:pt idx="941">
                  <c:v>7582.0662848570628</c:v>
                </c:pt>
                <c:pt idx="942">
                  <c:v>6528.3659251151003</c:v>
                </c:pt>
                <c:pt idx="943">
                  <c:v>8056.0549272229819</c:v>
                </c:pt>
                <c:pt idx="944">
                  <c:v>6179.6632541546951</c:v>
                </c:pt>
                <c:pt idx="945">
                  <c:v>7444.0033988002378</c:v>
                </c:pt>
                <c:pt idx="946">
                  <c:v>5870.7099426301902</c:v>
                </c:pt>
                <c:pt idx="947">
                  <c:v>7872.3872246207884</c:v>
                </c:pt>
                <c:pt idx="948">
                  <c:v>5513.2037186322268</c:v>
                </c:pt>
                <c:pt idx="949">
                  <c:v>5088.0167131265289</c:v>
                </c:pt>
                <c:pt idx="950">
                  <c:v>7471.765702018989</c:v>
                </c:pt>
                <c:pt idx="951">
                  <c:v>6206.2907248484134</c:v>
                </c:pt>
                <c:pt idx="952">
                  <c:v>7535.5727352874619</c:v>
                </c:pt>
                <c:pt idx="953">
                  <c:v>7365.5994982279335</c:v>
                </c:pt>
                <c:pt idx="954">
                  <c:v>6951.1887383636076</c:v>
                </c:pt>
                <c:pt idx="955">
                  <c:v>7850.539257480099</c:v>
                </c:pt>
                <c:pt idx="956">
                  <c:v>7067.9767248964436</c:v>
                </c:pt>
                <c:pt idx="957">
                  <c:v>8273.375246925556</c:v>
                </c:pt>
                <c:pt idx="958">
                  <c:v>7710.4822249214249</c:v>
                </c:pt>
                <c:pt idx="959">
                  <c:v>6061.9368261631807</c:v>
                </c:pt>
                <c:pt idx="960">
                  <c:v>6877.0159390819708</c:v>
                </c:pt>
                <c:pt idx="961">
                  <c:v>6775.2319189895479</c:v>
                </c:pt>
                <c:pt idx="962">
                  <c:v>6673.3993614965548</c:v>
                </c:pt>
                <c:pt idx="963">
                  <c:v>8245.3982468920476</c:v>
                </c:pt>
                <c:pt idx="964">
                  <c:v>6653.2782612664196</c:v>
                </c:pt>
                <c:pt idx="965">
                  <c:v>6679.3992680668543</c:v>
                </c:pt>
                <c:pt idx="966">
                  <c:v>7816.4429654324776</c:v>
                </c:pt>
                <c:pt idx="967">
                  <c:v>7703.1621878496244</c:v>
                </c:pt>
                <c:pt idx="968">
                  <c:v>6154.0565214537528</c:v>
                </c:pt>
                <c:pt idx="969">
                  <c:v>8386.629155931254</c:v>
                </c:pt>
                <c:pt idx="970">
                  <c:v>7717.5825423768983</c:v>
                </c:pt>
                <c:pt idx="971">
                  <c:v>7277.6252401800157</c:v>
                </c:pt>
                <c:pt idx="972">
                  <c:v>6525.4503058264108</c:v>
                </c:pt>
                <c:pt idx="973">
                  <c:v>7584.3830052679205</c:v>
                </c:pt>
                <c:pt idx="974">
                  <c:v>6308.0387687668526</c:v>
                </c:pt>
                <c:pt idx="975">
                  <c:v>5918.1124297226488</c:v>
                </c:pt>
                <c:pt idx="976">
                  <c:v>5484.7214395895808</c:v>
                </c:pt>
                <c:pt idx="977">
                  <c:v>7744.8935728719716</c:v>
                </c:pt>
                <c:pt idx="978">
                  <c:v>6101.8947293545025</c:v>
                </c:pt>
                <c:pt idx="979">
                  <c:v>6258.9226049814997</c:v>
                </c:pt>
                <c:pt idx="980">
                  <c:v>6239.7771549599656</c:v>
                </c:pt>
                <c:pt idx="981">
                  <c:v>7390.3083330117061</c:v>
                </c:pt>
                <c:pt idx="982">
                  <c:v>6502.2847997901426</c:v>
                </c:pt>
                <c:pt idx="983">
                  <c:v>5641.0860356651983</c:v>
                </c:pt>
                <c:pt idx="984">
                  <c:v>5870.6649130089154</c:v>
                </c:pt>
                <c:pt idx="985">
                  <c:v>6894.3377654962478</c:v>
                </c:pt>
                <c:pt idx="986">
                  <c:v>5770.189689571911</c:v>
                </c:pt>
                <c:pt idx="987">
                  <c:v>7065.6850272329539</c:v>
                </c:pt>
                <c:pt idx="988">
                  <c:v>7007.3004589680586</c:v>
                </c:pt>
                <c:pt idx="989">
                  <c:v>6817.1280167239202</c:v>
                </c:pt>
                <c:pt idx="990">
                  <c:v>5931.0756252237734</c:v>
                </c:pt>
                <c:pt idx="991">
                  <c:v>6563.6376158507937</c:v>
                </c:pt>
                <c:pt idx="992">
                  <c:v>7881.6904388540643</c:v>
                </c:pt>
                <c:pt idx="993">
                  <c:v>7445.6317925891472</c:v>
                </c:pt>
                <c:pt idx="994">
                  <c:v>7288.0771318511552</c:v>
                </c:pt>
                <c:pt idx="995">
                  <c:v>6600.3599608901095</c:v>
                </c:pt>
                <c:pt idx="996">
                  <c:v>5204.3303862856392</c:v>
                </c:pt>
                <c:pt idx="997">
                  <c:v>6613.0095109180493</c:v>
                </c:pt>
                <c:pt idx="998">
                  <c:v>5917.7071624742621</c:v>
                </c:pt>
                <c:pt idx="999">
                  <c:v>4607.0309651979314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27-4CC7-9E63-7CDCD16BCBD6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'Parameters and Analysis'!$H$38</c:f>
              <c:numCache>
                <c:formatCode>_(* #,##0.00_);_(* \(#,##0.00\);_(* "-"??_);_(@_)</c:formatCode>
                <c:ptCount val="1"/>
                <c:pt idx="0">
                  <c:v>0.84922634568818223</c:v>
                </c:pt>
              </c:numCache>
            </c:numRef>
          </c:xVal>
          <c:yVal>
            <c:numRef>
              <c:f>'Parameters and Analysis'!$I$38</c:f>
              <c:numCache>
                <c:formatCode>"£"#,##0</c:formatCode>
                <c:ptCount val="1"/>
                <c:pt idx="0">
                  <c:v>6975.7370562701244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627-4CC7-9E63-7CDCD16BC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739824"/>
        <c:axId val="452738992"/>
      </c:scatterChart>
      <c:valAx>
        <c:axId val="45273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738992"/>
        <c:crosses val="autoZero"/>
        <c:crossBetween val="midCat"/>
      </c:valAx>
      <c:valAx>
        <c:axId val="45273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73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02688728024819"/>
          <c:y val="3.898305084745763E-2"/>
          <c:w val="0.8583247156153051"/>
          <c:h val="0.83559322033898309"/>
        </c:manualLayout>
      </c:layout>
      <c:areaChart>
        <c:grouping val="percentStacked"/>
        <c:varyColors val="0"/>
        <c:ser>
          <c:idx val="0"/>
          <c:order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Model'!$A$2:$A$47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Model'!$V$2:$V$47</c:f>
              <c:numCache>
                <c:formatCode>0</c:formatCode>
                <c:ptCount val="46"/>
                <c:pt idx="0">
                  <c:v>1000</c:v>
                </c:pt>
                <c:pt idx="1">
                  <c:v>981.2</c:v>
                </c:pt>
                <c:pt idx="2">
                  <c:v>957.84744000000001</c:v>
                </c:pt>
                <c:pt idx="3">
                  <c:v>930.26143372800004</c:v>
                </c:pt>
                <c:pt idx="4">
                  <c:v>898.8185972679936</c:v>
                </c:pt>
                <c:pt idx="5">
                  <c:v>863.94443569399539</c:v>
                </c:pt>
                <c:pt idx="6">
                  <c:v>826.1036694105984</c:v>
                </c:pt>
                <c:pt idx="7">
                  <c:v>785.7898103433613</c:v>
                </c:pt>
                <c:pt idx="8">
                  <c:v>743.51431854688838</c:v>
                </c:pt>
                <c:pt idx="9">
                  <c:v>699.79567661633132</c:v>
                </c:pt>
                <c:pt idx="10">
                  <c:v>655.14871244820938</c:v>
                </c:pt>
                <c:pt idx="11">
                  <c:v>594.28539706177082</c:v>
                </c:pt>
                <c:pt idx="12">
                  <c:v>536.10485668942351</c:v>
                </c:pt>
                <c:pt idx="13">
                  <c:v>480.93966693608189</c:v>
                </c:pt>
                <c:pt idx="14">
                  <c:v>429.04627687367855</c:v>
                </c:pt>
                <c:pt idx="15">
                  <c:v>380.60695221464027</c:v>
                </c:pt>
                <c:pt idx="16">
                  <c:v>335.7333925485342</c:v>
                </c:pt>
                <c:pt idx="17">
                  <c:v>294.47175860431946</c:v>
                </c:pt>
                <c:pt idx="18">
                  <c:v>256.80882067882692</c:v>
                </c:pt>
                <c:pt idx="19">
                  <c:v>222.67892841061087</c:v>
                </c:pt>
                <c:pt idx="20">
                  <c:v>191.97150418278773</c:v>
                </c:pt>
                <c:pt idx="21">
                  <c:v>154.30669506212473</c:v>
                </c:pt>
                <c:pt idx="22">
                  <c:v>123.26018801562532</c:v>
                </c:pt>
                <c:pt idx="23">
                  <c:v>97.843937246803421</c:v>
                </c:pt>
                <c:pt idx="24">
                  <c:v>77.179297700278426</c:v>
                </c:pt>
                <c:pt idx="25">
                  <c:v>60.493133537478229</c:v>
                </c:pt>
                <c:pt idx="26">
                  <c:v>47.112052398988112</c:v>
                </c:pt>
                <c:pt idx="27">
                  <c:v>36.455306146336966</c:v>
                </c:pt>
                <c:pt idx="28">
                  <c:v>28.026839365303886</c:v>
                </c:pt>
                <c:pt idx="29">
                  <c:v>21.406899907219099</c:v>
                </c:pt>
                <c:pt idx="30">
                  <c:v>16.243555649597852</c:v>
                </c:pt>
                <c:pt idx="31">
                  <c:v>10.545316327718979</c:v>
                </c:pt>
                <c:pt idx="32">
                  <c:v>6.7932927783165269</c:v>
                </c:pt>
                <c:pt idx="33">
                  <c:v>4.3422727438999118</c:v>
                </c:pt>
                <c:pt idx="34">
                  <c:v>2.7538693741813631</c:v>
                </c:pt>
                <c:pt idx="35">
                  <c:v>1.7327346102348429</c:v>
                </c:pt>
                <c:pt idx="36">
                  <c:v>1.0815729437085793</c:v>
                </c:pt>
                <c:pt idx="37">
                  <c:v>0.66970996674433536</c:v>
                </c:pt>
                <c:pt idx="38">
                  <c:v>0.41133586157445734</c:v>
                </c:pt>
                <c:pt idx="39">
                  <c:v>0.25058580687118592</c:v>
                </c:pt>
                <c:pt idx="40">
                  <c:v>0.15140394451157135</c:v>
                </c:pt>
                <c:pt idx="41">
                  <c:v>9.0721243551229236E-2</c:v>
                </c:pt>
                <c:pt idx="42">
                  <c:v>5.3906562918200507E-2</c:v>
                </c:pt>
                <c:pt idx="43">
                  <c:v>3.1761746871325158E-2</c:v>
                </c:pt>
                <c:pt idx="44">
                  <c:v>1.855521252230119E-2</c:v>
                </c:pt>
                <c:pt idx="45">
                  <c:v>1.0747179092959414E-2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11-430E-ABFA-6B8511D08502}"/>
            </c:ext>
          </c:extLst>
        </c:ser>
        <c:ser>
          <c:idx val="1"/>
          <c:order val="1"/>
          <c:spPr>
            <a:pattFill prst="pct10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Model'!$A$2:$A$47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Model'!$W$2:$W$47</c:f>
              <c:numCache>
                <c:formatCode>0</c:formatCode>
                <c:ptCount val="46"/>
                <c:pt idx="0">
                  <c:v>0</c:v>
                </c:pt>
                <c:pt idx="1">
                  <c:v>5</c:v>
                </c:pt>
                <c:pt idx="2">
                  <c:v>13.993000000000002</c:v>
                </c:pt>
                <c:pt idx="3">
                  <c:v>26.068658200000002</c:v>
                </c:pt>
                <c:pt idx="4">
                  <c:v>40.403840661400004</c:v>
                </c:pt>
                <c:pt idx="5">
                  <c:v>56.256156492762528</c:v>
                </c:pt>
                <c:pt idx="6">
                  <c:v>72.959731130067894</c:v>
                </c:pt>
                <c:pt idx="7">
                  <c:v>89.922555600333709</c:v>
                </c:pt>
                <c:pt idx="8">
                  <c:v>106.62483340673349</c:v>
                </c:pt>
                <c:pt idx="9">
                  <c:v>122.61783002932052</c:v>
                </c:pt>
                <c:pt idx="10">
                  <c:v>137.52281330133437</c:v>
                </c:pt>
                <c:pt idx="11">
                  <c:v>147.71545586666514</c:v>
                </c:pt>
                <c:pt idx="12">
                  <c:v>155.61684553302499</c:v>
                </c:pt>
                <c:pt idx="13">
                  <c:v>161.22325594218211</c:v>
                </c:pt>
                <c:pt idx="14">
                  <c:v>164.59518283617183</c:v>
                </c:pt>
                <c:pt idx="15">
                  <c:v>165.84621874678103</c:v>
                </c:pt>
                <c:pt idx="16">
                  <c:v>165.13227042143208</c:v>
                </c:pt>
                <c:pt idx="17">
                  <c:v>162.64125517587041</c:v>
                </c:pt>
                <c:pt idx="18">
                  <c:v>158.58342160271309</c:v>
                </c:pt>
                <c:pt idx="19">
                  <c:v>153.18243464805184</c:v>
                </c:pt>
                <c:pt idx="20">
                  <c:v>146.66734801874395</c:v>
                </c:pt>
                <c:pt idx="21">
                  <c:v>131.4481916158156</c:v>
                </c:pt>
                <c:pt idx="22">
                  <c:v>116.71662425491459</c:v>
                </c:pt>
                <c:pt idx="23">
                  <c:v>102.73949610642609</c:v>
                </c:pt>
                <c:pt idx="24">
                  <c:v>89.700002115172509</c:v>
                </c:pt>
                <c:pt idx="25">
                  <c:v>77.7117738175277</c:v>
                </c:pt>
                <c:pt idx="26">
                  <c:v>66.831801332612187</c:v>
                </c:pt>
                <c:pt idx="27">
                  <c:v>57.072097925049519</c:v>
                </c:pt>
                <c:pt idx="28">
                  <c:v>48.410050766014741</c:v>
                </c:pt>
                <c:pt idx="29">
                  <c:v>40.797438229221044</c:v>
                </c:pt>
                <c:pt idx="30">
                  <c:v>34.168131114415786</c:v>
                </c:pt>
                <c:pt idx="31">
                  <c:v>24.870542500738473</c:v>
                </c:pt>
                <c:pt idx="32">
                  <c:v>17.957559516418147</c:v>
                </c:pt>
                <c:pt idx="33">
                  <c:v>12.868728744062979</c:v>
                </c:pt>
                <c:pt idx="34">
                  <c:v>9.1569087108289864</c:v>
                </c:pt>
                <c:pt idx="35">
                  <c:v>6.4723768191060618</c:v>
                </c:pt>
                <c:pt idx="36">
                  <c:v>4.5461211449014574</c:v>
                </c:pt>
                <c:pt idx="37">
                  <c:v>3.1741634475806206</c:v>
                </c:pt>
                <c:pt idx="38">
                  <c:v>2.2037826210886657</c:v>
                </c:pt>
                <c:pt idx="39">
                  <c:v>1.5219250837232243</c:v>
                </c:pt>
                <c:pt idx="40">
                  <c:v>1.0457605511459707</c:v>
                </c:pt>
                <c:pt idx="41">
                  <c:v>0.71517436118456612</c:v>
                </c:pt>
                <c:pt idx="42">
                  <c:v>0.48691852823270126</c:v>
                </c:pt>
                <c:pt idx="43">
                  <c:v>0.33013201219724631</c:v>
                </c:pt>
                <c:pt idx="44">
                  <c:v>0.22295994669113006</c:v>
                </c:pt>
                <c:pt idx="45">
                  <c:v>0.15003531994285507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11-430E-ABFA-6B8511D08502}"/>
            </c:ext>
          </c:extLst>
        </c:ser>
        <c:ser>
          <c:idx val="2"/>
          <c:order val="2"/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Model'!$A$2:$A$47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Model'!$X$2:$X$47</c:f>
              <c:numCache>
                <c:formatCode>0</c:formatCode>
                <c:ptCount val="46"/>
                <c:pt idx="0">
                  <c:v>0</c:v>
                </c:pt>
                <c:pt idx="1">
                  <c:v>13.799999999999999</c:v>
                </c:pt>
                <c:pt idx="2">
                  <c:v>28.159559999999999</c:v>
                </c:pt>
                <c:pt idx="3">
                  <c:v>43.669908071999998</c:v>
                </c:pt>
                <c:pt idx="4">
                  <c:v>60.7775620706064</c:v>
                </c:pt>
                <c:pt idx="5">
                  <c:v>79.799407813242027</c:v>
                </c:pt>
                <c:pt idx="6">
                  <c:v>100.93659945933368</c:v>
                </c:pt>
                <c:pt idx="7">
                  <c:v>124.28763405630505</c:v>
                </c:pt>
                <c:pt idx="8">
                  <c:v>149.86084804637809</c:v>
                </c:pt>
                <c:pt idx="9">
                  <c:v>177.58649335434808</c:v>
                </c:pt>
                <c:pt idx="10">
                  <c:v>207.32847425045617</c:v>
                </c:pt>
                <c:pt idx="11">
                  <c:v>257.99914707156404</c:v>
                </c:pt>
                <c:pt idx="12">
                  <c:v>308.27829777755153</c:v>
                </c:pt>
                <c:pt idx="13">
                  <c:v>357.83707712173606</c:v>
                </c:pt>
                <c:pt idx="14">
                  <c:v>406.35854029014962</c:v>
                </c:pt>
                <c:pt idx="15">
                  <c:v>453.54682903857872</c:v>
                </c:pt>
                <c:pt idx="16">
                  <c:v>499.13433703003375</c:v>
                </c:pt>
                <c:pt idx="17">
                  <c:v>542.88698621981018</c:v>
                </c:pt>
                <c:pt idx="18">
                  <c:v>584.60775771845999</c:v>
                </c:pt>
                <c:pt idx="19">
                  <c:v>624.13863694133727</c:v>
                </c:pt>
                <c:pt idx="20">
                  <c:v>661.36114779846832</c:v>
                </c:pt>
                <c:pt idx="21">
                  <c:v>714.24511332205964</c:v>
                </c:pt>
                <c:pt idx="22">
                  <c:v>760.02318772946012</c:v>
                </c:pt>
                <c:pt idx="23">
                  <c:v>799.41656664677055</c:v>
                </c:pt>
                <c:pt idx="24">
                  <c:v>833.12070018454904</c:v>
                </c:pt>
                <c:pt idx="25">
                  <c:v>861.79509264499404</c:v>
                </c:pt>
                <c:pt idx="26">
                  <c:v>886.05614626839974</c:v>
                </c:pt>
                <c:pt idx="27">
                  <c:v>906.47259592861349</c:v>
                </c:pt>
                <c:pt idx="28">
                  <c:v>923.56310986868141</c:v>
                </c:pt>
                <c:pt idx="29">
                  <c:v>937.79566186355987</c:v>
                </c:pt>
                <c:pt idx="30">
                  <c:v>949.58831323598633</c:v>
                </c:pt>
                <c:pt idx="31">
                  <c:v>964.58414117154257</c:v>
                </c:pt>
                <c:pt idx="32">
                  <c:v>975.24914770526527</c:v>
                </c:pt>
                <c:pt idx="33">
                  <c:v>982.7889985120371</c:v>
                </c:pt>
                <c:pt idx="34">
                  <c:v>988.08922191498971</c:v>
                </c:pt>
                <c:pt idx="35">
                  <c:v>991.79488857065905</c:v>
                </c:pt>
                <c:pt idx="36">
                  <c:v>994.37230591138996</c:v>
                </c:pt>
                <c:pt idx="37">
                  <c:v>996.156126585675</c:v>
                </c:pt>
                <c:pt idx="38">
                  <c:v>997.38488151733691</c:v>
                </c:pt>
                <c:pt idx="39">
                  <c:v>998.22748910940561</c:v>
                </c:pt>
                <c:pt idx="40">
                  <c:v>998.80283550434251</c:v>
                </c:pt>
                <c:pt idx="41">
                  <c:v>999.19410439526416</c:v>
                </c:pt>
                <c:pt idx="42">
                  <c:v>999.45917490884915</c:v>
                </c:pt>
                <c:pt idx="43">
                  <c:v>999.63810624093139</c:v>
                </c:pt>
                <c:pt idx="44">
                  <c:v>999.75848484078654</c:v>
                </c:pt>
                <c:pt idx="45">
                  <c:v>999.8392175009642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11-430E-ABFA-6B8511D08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86464"/>
        <c:axId val="63888768"/>
      </c:areaChart>
      <c:catAx>
        <c:axId val="6388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Model cycle</a:t>
                </a:r>
              </a:p>
            </c:rich>
          </c:tx>
          <c:layout>
            <c:manualLayout>
              <c:xMode val="edge"/>
              <c:yMode val="edge"/>
              <c:x val="0.49120992761116855"/>
              <c:y val="0.927118644067796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88876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638887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Percentage of cohort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28644067796610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8864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02688728024819"/>
          <c:y val="3.898305084745763E-2"/>
          <c:w val="0.8583247156153051"/>
          <c:h val="0.83559322033898309"/>
        </c:manualLayout>
      </c:layout>
      <c:areaChart>
        <c:grouping val="percentStacked"/>
        <c:varyColors val="0"/>
        <c:ser>
          <c:idx val="0"/>
          <c:order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Model'!$A$2:$A$47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Model'!$E$2:$E$47</c:f>
              <c:numCache>
                <c:formatCode>0.0</c:formatCode>
                <c:ptCount val="46"/>
                <c:pt idx="0">
                  <c:v>1000</c:v>
                </c:pt>
                <c:pt idx="1">
                  <c:v>976.2</c:v>
                </c:pt>
                <c:pt idx="2">
                  <c:v>943.20443999999998</c:v>
                </c:pt>
                <c:pt idx="3">
                  <c:v>901.89208552800005</c:v>
                </c:pt>
                <c:pt idx="4">
                  <c:v>853.37029132659359</c:v>
                </c:pt>
                <c:pt idx="5">
                  <c:v>798.9252667399569</c:v>
                </c:pt>
                <c:pt idx="6">
                  <c:v>739.96458205454815</c:v>
                </c:pt>
                <c:pt idx="7">
                  <c:v>677.95555007837697</c:v>
                </c:pt>
                <c:pt idx="8">
                  <c:v>614.3633194810252</c:v>
                </c:pt>
                <c:pt idx="9">
                  <c:v>550.59240691889477</c:v>
                </c:pt>
                <c:pt idx="10">
                  <c:v>487.93499101152457</c:v>
                </c:pt>
                <c:pt idx="11">
                  <c:v>415.76940584092011</c:v>
                </c:pt>
                <c:pt idx="12">
                  <c:v>350.1194166586389</c:v>
                </c:pt>
                <c:pt idx="13">
                  <c:v>291.33436660165336</c:v>
                </c:pt>
                <c:pt idx="14">
                  <c:v>239.50598278321922</c:v>
                </c:pt>
                <c:pt idx="15">
                  <c:v>194.50280861825229</c:v>
                </c:pt>
                <c:pt idx="16">
                  <c:v>156.01070279270016</c:v>
                </c:pt>
                <c:pt idx="17">
                  <c:v>123.57607768209789</c:v>
                </c:pt>
                <c:pt idx="18">
                  <c:v>96.648850355168747</c:v>
                </c:pt>
                <c:pt idx="19">
                  <c:v>74.622577359225716</c:v>
                </c:pt>
                <c:pt idx="20">
                  <c:v>56.869866205465883</c:v>
                </c:pt>
                <c:pt idx="21">
                  <c:v>39.740662504379657</c:v>
                </c:pt>
                <c:pt idx="22">
                  <c:v>27.373368333016742</c:v>
                </c:pt>
                <c:pt idx="23">
                  <c:v>18.581042424451766</c:v>
                </c:pt>
                <c:pt idx="24">
                  <c:v>12.427001173473286</c:v>
                </c:pt>
                <c:pt idx="25">
                  <c:v>8.1869083730840657</c:v>
                </c:pt>
                <c:pt idx="26">
                  <c:v>5.3116661524569508</c:v>
                </c:pt>
                <c:pt idx="27">
                  <c:v>3.39309233818949</c:v>
                </c:pt>
                <c:pt idx="28">
                  <c:v>2.1335764622534725</c:v>
                </c:pt>
                <c:pt idx="29">
                  <c:v>1.320257114842434</c:v>
                </c:pt>
                <c:pt idx="30">
                  <c:v>0.8037725315160742</c:v>
                </c:pt>
                <c:pt idx="31">
                  <c:v>0.39722438507533298</c:v>
                </c:pt>
                <c:pt idx="32">
                  <c:v>0.1923360472535478</c:v>
                </c:pt>
                <c:pt idx="33">
                  <c:v>9.1205753607596307E-2</c:v>
                </c:pt>
                <c:pt idx="34">
                  <c:v>4.2337710824654096E-2</c:v>
                </c:pt>
                <c:pt idx="35">
                  <c:v>1.9229788256552638E-2</c:v>
                </c:pt>
                <c:pt idx="36">
                  <c:v>8.5418719436347601E-3</c:v>
                </c:pt>
                <c:pt idx="37">
                  <c:v>3.7088807978307159E-3</c:v>
                </c:pt>
                <c:pt idx="38">
                  <c:v>1.5733072344801258E-3</c:v>
                </c:pt>
                <c:pt idx="39">
                  <c:v>6.5166385650172742E-4</c:v>
                </c:pt>
                <c:pt idx="40">
                  <c:v>2.6340253077705711E-4</c:v>
                </c:pt>
                <c:pt idx="41">
                  <c:v>1.0383327753515914E-4</c:v>
                </c:pt>
                <c:pt idx="42">
                  <c:v>3.9892745235192706E-5</c:v>
                </c:pt>
                <c:pt idx="43">
                  <c:v>1.4927865208846924E-5</c:v>
                </c:pt>
                <c:pt idx="44">
                  <c:v>5.4367285429179901E-6</c:v>
                </c:pt>
                <c:pt idx="45">
                  <c:v>1.9256892755947774E-6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0B-40F8-A9A7-757A32BC2662}"/>
            </c:ext>
          </c:extLst>
        </c:ser>
        <c:ser>
          <c:idx val="1"/>
          <c:order val="1"/>
          <c:spPr>
            <a:pattFill prst="pct10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Model'!$A$2:$A$47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Model'!$G$2:$G$47</c:f>
              <c:numCache>
                <c:formatCode>0.0</c:formatCode>
                <c:ptCount val="46"/>
                <c:pt idx="0">
                  <c:v>0</c:v>
                </c:pt>
                <c:pt idx="1">
                  <c:v>10</c:v>
                </c:pt>
                <c:pt idx="2">
                  <c:v>27.886000000000003</c:v>
                </c:pt>
                <c:pt idx="3">
                  <c:v>51.6144064</c:v>
                </c:pt>
                <c:pt idx="4">
                  <c:v>79.235650052799997</c:v>
                </c:pt>
                <c:pt idx="5">
                  <c:v>108.92536514048103</c:v>
                </c:pt>
                <c:pt idx="6">
                  <c:v>139.01890633486767</c:v>
                </c:pt>
                <c:pt idx="7">
                  <c:v>168.0451302210347</c:v>
                </c:pt>
                <c:pt idx="8">
                  <c:v>194.75578189709938</c:v>
                </c:pt>
                <c:pt idx="9">
                  <c:v>218.14748357564676</c:v>
                </c:pt>
                <c:pt idx="10">
                  <c:v>237.47416645784529</c:v>
                </c:pt>
                <c:pt idx="11">
                  <c:v>246.52561959168384</c:v>
                </c:pt>
                <c:pt idx="12">
                  <c:v>250.09578437131682</c:v>
                </c:pt>
                <c:pt idx="13">
                  <c:v>248.61831065356944</c:v>
                </c:pt>
                <c:pt idx="14">
                  <c:v>242.68974140599519</c:v>
                </c:pt>
                <c:pt idx="15">
                  <c:v>233.01423641329154</c:v>
                </c:pt>
                <c:pt idx="16">
                  <c:v>220.35131077015441</c:v>
                </c:pt>
                <c:pt idx="17">
                  <c:v>205.46911895120144</c:v>
                </c:pt>
                <c:pt idx="18">
                  <c:v>189.1051654830483</c:v>
                </c:pt>
                <c:pt idx="19">
                  <c:v>171.93558645626558</c:v>
                </c:pt>
                <c:pt idx="20">
                  <c:v>154.55340523297843</c:v>
                </c:pt>
                <c:pt idx="21">
                  <c:v>129.21779579393186</c:v>
                </c:pt>
                <c:pt idx="22">
                  <c:v>106.79340919939901</c:v>
                </c:pt>
                <c:pt idx="23">
                  <c:v>87.330713617097814</c:v>
                </c:pt>
                <c:pt idx="24">
                  <c:v>70.725995674522238</c:v>
                </c:pt>
                <c:pt idx="25">
                  <c:v>56.773635811195788</c:v>
                </c:pt>
                <c:pt idx="26">
                  <c:v>45.20843103053722</c:v>
                </c:pt>
                <c:pt idx="27">
                  <c:v>35.738307327135018</c:v>
                </c:pt>
                <c:pt idx="28">
                  <c:v>28.068293454523108</c:v>
                </c:pt>
                <c:pt idx="29">
                  <c:v>21.91695824734564</c:v>
                </c:pt>
                <c:pt idx="30">
                  <c:v>17.026665052538601</c:v>
                </c:pt>
                <c:pt idx="31">
                  <c:v>11.388013762140735</c:v>
                </c:pt>
                <c:pt idx="32">
                  <c:v>7.5771504064165764</c:v>
                </c:pt>
                <c:pt idx="33">
                  <c:v>5.0204426914713949</c:v>
                </c:pt>
                <c:pt idx="34">
                  <c:v>3.3153835649871692</c:v>
                </c:pt>
                <c:pt idx="35">
                  <c:v>2.1837421270032351</c:v>
                </c:pt>
                <c:pt idx="36">
                  <c:v>1.4355268232578755</c:v>
                </c:pt>
                <c:pt idx="37">
                  <c:v>0.94228214039444702</c:v>
                </c:pt>
                <c:pt idx="38">
                  <c:v>0.61785035094922292</c:v>
                </c:pt>
                <c:pt idx="39">
                  <c:v>0.40481128941242889</c:v>
                </c:pt>
                <c:pt idx="40">
                  <c:v>0.26508821107621167</c:v>
                </c:pt>
                <c:pt idx="41">
                  <c:v>0.17352870272367626</c:v>
                </c:pt>
                <c:pt idx="42">
                  <c:v>0.11356608729839379</c:v>
                </c:pt>
                <c:pt idx="43">
                  <c:v>7.431208819106036E-2</c:v>
                </c:pt>
                <c:pt idx="44">
                  <c:v>4.862153635528358E-2</c:v>
                </c:pt>
                <c:pt idx="45">
                  <c:v>3.1810655611470832E-2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0B-40F8-A9A7-757A32BC2662}"/>
            </c:ext>
          </c:extLst>
        </c:ser>
        <c:ser>
          <c:idx val="2"/>
          <c:order val="2"/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Model'!$A$2:$A$47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Model'!$I$2:$I$47</c:f>
              <c:numCache>
                <c:formatCode>0.0</c:formatCode>
                <c:ptCount val="46"/>
                <c:pt idx="0">
                  <c:v>0</c:v>
                </c:pt>
                <c:pt idx="1">
                  <c:v>13.799999999999999</c:v>
                </c:pt>
                <c:pt idx="2">
                  <c:v>28.909559999999999</c:v>
                </c:pt>
                <c:pt idx="3">
                  <c:v>46.493508071999997</c:v>
                </c:pt>
                <c:pt idx="4">
                  <c:v>67.394058620606401</c:v>
                </c:pt>
                <c:pt idx="5">
                  <c:v>92.149368119562041</c:v>
                </c:pt>
                <c:pt idx="6">
                  <c:v>121.01651161058423</c:v>
                </c:pt>
                <c:pt idx="7">
                  <c:v>153.99931970058833</c:v>
                </c:pt>
                <c:pt idx="8">
                  <c:v>190.88089862187542</c:v>
                </c:pt>
                <c:pt idx="9">
                  <c:v>231.26010950545844</c:v>
                </c:pt>
                <c:pt idx="10">
                  <c:v>274.59084253063014</c:v>
                </c:pt>
                <c:pt idx="11">
                  <c:v>337.70497456739605</c:v>
                </c:pt>
                <c:pt idx="12">
                  <c:v>399.78479897004433</c:v>
                </c:pt>
                <c:pt idx="13">
                  <c:v>460.0473227447772</c:v>
                </c:pt>
                <c:pt idx="14">
                  <c:v>517.80427581078561</c:v>
                </c:pt>
                <c:pt idx="15">
                  <c:v>572.48295496845617</c:v>
                </c:pt>
                <c:pt idx="16">
                  <c:v>623.6379864371454</c:v>
                </c:pt>
                <c:pt idx="17">
                  <c:v>670.95480336670073</c:v>
                </c:pt>
                <c:pt idx="18">
                  <c:v>714.24598416178299</c:v>
                </c:pt>
                <c:pt idx="19">
                  <c:v>753.4418361845087</c:v>
                </c:pt>
                <c:pt idx="20">
                  <c:v>788.57672856155568</c:v>
                </c:pt>
                <c:pt idx="21">
                  <c:v>831.04154170168852</c:v>
                </c:pt>
                <c:pt idx="22">
                  <c:v>865.83322246758428</c:v>
                </c:pt>
                <c:pt idx="23">
                  <c:v>894.08824395845045</c:v>
                </c:pt>
                <c:pt idx="24">
                  <c:v>916.8470031520045</c:v>
                </c:pt>
                <c:pt idx="25">
                  <c:v>935.03945581572009</c:v>
                </c:pt>
                <c:pt idx="26">
                  <c:v>949.47990281700584</c:v>
                </c:pt>
                <c:pt idx="27">
                  <c:v>960.86860033467553</c:v>
                </c:pt>
                <c:pt idx="28">
                  <c:v>969.79813008322344</c:v>
                </c:pt>
                <c:pt idx="29">
                  <c:v>976.76278463781193</c:v>
                </c:pt>
                <c:pt idx="30">
                  <c:v>982.16956241594528</c:v>
                </c:pt>
                <c:pt idx="31">
                  <c:v>988.21476185278391</c:v>
                </c:pt>
                <c:pt idx="32">
                  <c:v>992.23051354632992</c:v>
                </c:pt>
                <c:pt idx="33">
                  <c:v>994.88835155492097</c:v>
                </c:pt>
                <c:pt idx="34">
                  <c:v>996.64227872418815</c:v>
                </c:pt>
                <c:pt idx="35">
                  <c:v>997.79702808474019</c:v>
                </c:pt>
                <c:pt idx="36">
                  <c:v>998.55593130479849</c:v>
                </c:pt>
                <c:pt idx="37">
                  <c:v>999.0540089788077</c:v>
                </c:pt>
                <c:pt idx="38">
                  <c:v>999.38057634181632</c:v>
                </c:pt>
                <c:pt idx="39">
                  <c:v>999.59453704673103</c:v>
                </c:pt>
                <c:pt idx="40">
                  <c:v>999.73464838639302</c:v>
                </c:pt>
                <c:pt idx="41">
                  <c:v>999.82636746399874</c:v>
                </c:pt>
                <c:pt idx="42">
                  <c:v>999.88639401995636</c:v>
                </c:pt>
                <c:pt idx="43">
                  <c:v>999.92567298394374</c:v>
                </c:pt>
                <c:pt idx="44">
                  <c:v>999.95137302691614</c:v>
                </c:pt>
                <c:pt idx="45">
                  <c:v>999.96818741869924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0B-40F8-A9A7-757A32BC2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38944"/>
        <c:axId val="53140864"/>
      </c:areaChart>
      <c:catAx>
        <c:axId val="53138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Model cycle</a:t>
                </a:r>
              </a:p>
            </c:rich>
          </c:tx>
          <c:layout>
            <c:manualLayout>
              <c:xMode val="edge"/>
              <c:yMode val="edge"/>
              <c:x val="0.49120992761116855"/>
              <c:y val="0.927118644067796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14086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31408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Percentage of cohort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28644067796610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1389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2"/>
  <sheetViews>
    <sheetView zoomScale="76" workbookViewId="0"/>
  </sheetViews>
  <pageMargins left="0.75" right="0.75" top="1" bottom="1" header="0.5" footer="0.5"/>
  <pageSetup paperSize="9" orientation="landscape" horizontalDpi="4294967292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3"/>
  <sheetViews>
    <sheetView zoomScale="76" workbookViewId="0"/>
  </sheetViews>
  <pageMargins left="0.75" right="0.75" top="1" bottom="1" header="0.5" footer="0.5"/>
  <pageSetup paperSize="9" orientation="landscape" horizontalDpi="4294967292" r:id="rId1"/>
  <headerFooter alignWithMargins="0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428625</xdr:colOff>
      <xdr:row>14</xdr:row>
      <xdr:rowOff>123825</xdr:rowOff>
    </xdr:from>
    <xdr:to>
      <xdr:col>7</xdr:col>
      <xdr:colOff>581025</xdr:colOff>
      <xdr:row>23</xdr:row>
      <xdr:rowOff>57150</xdr:rowOff>
    </xdr:to>
    <xdr:sp macro="" textlink="">
      <xdr:nvSpPr>
        <xdr:cNvPr id="1037" name="AutoShape 13">
          <a:extLst>
            <a:ext uri="{FF2B5EF4-FFF2-40B4-BE49-F238E27FC236}">
              <a16:creationId xmlns:a16="http://schemas.microsoft.com/office/drawing/2014/main" id="{00000000-0008-0000-0100-00000D040000}"/>
            </a:ext>
          </a:extLst>
        </xdr:cNvPr>
        <xdr:cNvSpPr>
          <a:spLocks/>
        </xdr:cNvSpPr>
      </xdr:nvSpPr>
      <xdr:spPr bwMode="auto">
        <a:xfrm>
          <a:off x="4781550" y="2428875"/>
          <a:ext cx="152400" cy="1428750"/>
        </a:xfrm>
        <a:prstGeom prst="rightBrace">
          <a:avLst>
            <a:gd name="adj1" fmla="val 78125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0</xdr:row>
          <xdr:rowOff>190500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Probabilistic Sensitivity Analysis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48</xdr:row>
      <xdr:rowOff>0</xdr:rowOff>
    </xdr:from>
    <xdr:to>
      <xdr:col>12</xdr:col>
      <xdr:colOff>323850</xdr:colOff>
      <xdr:row>64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11678" cy="561473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0.20775</cdr:x>
      <cdr:y>0.56525</cdr:y>
    </cdr:from>
    <cdr:to>
      <cdr:x>0.275</cdr:x>
      <cdr:y>0.61275</cdr:y>
    </cdr:to>
    <cdr:sp macro="" textlink="">
      <cdr:nvSpPr>
        <cdr:cNvPr id="81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13518" y="3176564"/>
          <a:ext cx="619418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Asymp</a:t>
          </a:r>
        </a:p>
      </cdr:txBody>
    </cdr:sp>
  </cdr:relSizeAnchor>
  <cdr:relSizeAnchor xmlns:cdr="http://schemas.openxmlformats.org/drawingml/2006/chartDrawing">
    <cdr:from>
      <cdr:x>0.41975</cdr:x>
      <cdr:y>0.5395</cdr:y>
    </cdr:from>
    <cdr:to>
      <cdr:x>0.4715</cdr:x>
      <cdr:y>0.5835</cdr:y>
    </cdr:to>
    <cdr:sp macro="" textlink="">
      <cdr:nvSpPr>
        <cdr:cNvPr id="819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866181" y="3031855"/>
          <a:ext cx="476652" cy="24726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Prog</a:t>
          </a:r>
        </a:p>
      </cdr:txBody>
    </cdr:sp>
  </cdr:relSizeAnchor>
  <cdr:relSizeAnchor xmlns:cdr="http://schemas.openxmlformats.org/drawingml/2006/chartDrawing">
    <cdr:from>
      <cdr:x>0.6</cdr:x>
      <cdr:y>0.42425</cdr:y>
    </cdr:from>
    <cdr:to>
      <cdr:x>0.65575</cdr:x>
      <cdr:y>0.47175</cdr:y>
    </cdr:to>
    <cdr:sp macro="" textlink="">
      <cdr:nvSpPr>
        <cdr:cNvPr id="8195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526405" y="2384179"/>
          <a:ext cx="513495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Dead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11678" cy="561473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0.20775</cdr:x>
      <cdr:y>0.56525</cdr:y>
    </cdr:from>
    <cdr:to>
      <cdr:x>0.275</cdr:x>
      <cdr:y>0.61275</cdr:y>
    </cdr:to>
    <cdr:sp macro="" textlink="">
      <cdr:nvSpPr>
        <cdr:cNvPr id="71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13518" y="3176564"/>
          <a:ext cx="619418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Asymp</a:t>
          </a:r>
        </a:p>
      </cdr:txBody>
    </cdr:sp>
  </cdr:relSizeAnchor>
  <cdr:relSizeAnchor xmlns:cdr="http://schemas.openxmlformats.org/drawingml/2006/chartDrawing">
    <cdr:from>
      <cdr:x>0.3545</cdr:x>
      <cdr:y>0.52275</cdr:y>
    </cdr:from>
    <cdr:to>
      <cdr:x>0.40625</cdr:x>
      <cdr:y>0.56675</cdr:y>
    </cdr:to>
    <cdr:sp macro="" textlink="">
      <cdr:nvSpPr>
        <cdr:cNvPr id="717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265184" y="2937724"/>
          <a:ext cx="476653" cy="24726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Prog</a:t>
          </a:r>
        </a:p>
      </cdr:txBody>
    </cdr:sp>
  </cdr:relSizeAnchor>
  <cdr:relSizeAnchor xmlns:cdr="http://schemas.openxmlformats.org/drawingml/2006/chartDrawing">
    <cdr:from>
      <cdr:x>0.6</cdr:x>
      <cdr:y>0.42425</cdr:y>
    </cdr:from>
    <cdr:to>
      <cdr:x>0.65575</cdr:x>
      <cdr:y>0.47175</cdr:y>
    </cdr:to>
    <cdr:sp macro="" textlink="">
      <cdr:nvSpPr>
        <cdr:cNvPr id="7171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526405" y="2384179"/>
          <a:ext cx="513495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Dead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219075</xdr:colOff>
      <xdr:row>2</xdr:row>
      <xdr:rowOff>152400</xdr:rowOff>
    </xdr:from>
    <xdr:to>
      <xdr:col>6</xdr:col>
      <xdr:colOff>371075</xdr:colOff>
      <xdr:row>29</xdr:row>
      <xdr:rowOff>94711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" y="514350"/>
          <a:ext cx="3200000" cy="43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ndrew.briggs@ihs.ox.ac.uk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E26"/>
  <sheetViews>
    <sheetView workbookViewId="0">
      <selection activeCell="N36" sqref="N36"/>
    </sheetView>
  </sheetViews>
  <sheetFormatPr defaultRowHeight="12.75" x14ac:dyDescent="0.2"/>
  <sheetData>
    <row r="2" spans="2:5" ht="15.75" x14ac:dyDescent="0.25">
      <c r="E2" s="34" t="s">
        <v>130</v>
      </c>
    </row>
    <row r="3" spans="2:5" ht="15.75" x14ac:dyDescent="0.25">
      <c r="E3" s="34" t="s">
        <v>106</v>
      </c>
    </row>
    <row r="4" spans="2:5" ht="15.75" x14ac:dyDescent="0.25">
      <c r="E4" s="34" t="s">
        <v>107</v>
      </c>
    </row>
    <row r="5" spans="2:5" x14ac:dyDescent="0.2">
      <c r="E5" s="35"/>
    </row>
    <row r="6" spans="2:5" ht="15" x14ac:dyDescent="0.2">
      <c r="E6" s="36" t="s">
        <v>108</v>
      </c>
    </row>
    <row r="8" spans="2:5" x14ac:dyDescent="0.2">
      <c r="E8" s="37" t="s">
        <v>109</v>
      </c>
    </row>
    <row r="9" spans="2:5" x14ac:dyDescent="0.2">
      <c r="E9" s="37" t="s">
        <v>110</v>
      </c>
    </row>
    <row r="12" spans="2:5" x14ac:dyDescent="0.2">
      <c r="B12" t="s">
        <v>114</v>
      </c>
    </row>
    <row r="13" spans="2:5" x14ac:dyDescent="0.2">
      <c r="B13" t="s">
        <v>115</v>
      </c>
    </row>
    <row r="15" spans="2:5" x14ac:dyDescent="0.2">
      <c r="B15" s="40" t="s">
        <v>131</v>
      </c>
    </row>
    <row r="16" spans="2:5" x14ac:dyDescent="0.2">
      <c r="B16" s="38" t="s">
        <v>111</v>
      </c>
    </row>
    <row r="18" spans="2:5" x14ac:dyDescent="0.2">
      <c r="B18" t="s">
        <v>112</v>
      </c>
    </row>
    <row r="19" spans="2:5" x14ac:dyDescent="0.2">
      <c r="B19" s="38" t="s">
        <v>113</v>
      </c>
    </row>
    <row r="21" spans="2:5" x14ac:dyDescent="0.2">
      <c r="B21" t="s">
        <v>116</v>
      </c>
    </row>
    <row r="23" spans="2:5" x14ac:dyDescent="0.2">
      <c r="B23" t="s">
        <v>117</v>
      </c>
    </row>
    <row r="24" spans="2:5" x14ac:dyDescent="0.2">
      <c r="B24" t="s">
        <v>129</v>
      </c>
    </row>
    <row r="26" spans="2:5" x14ac:dyDescent="0.2">
      <c r="E26" s="39" t="s">
        <v>118</v>
      </c>
    </row>
  </sheetData>
  <phoneticPr fontId="0" type="noConversion"/>
  <hyperlinks>
    <hyperlink ref="E26" r:id="rId1" xr:uid="{00000000-0004-0000-0000-000000000000}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O1037"/>
  <sheetViews>
    <sheetView zoomScale="115" zoomScaleNormal="115" workbookViewId="0">
      <selection activeCell="B26" sqref="B26"/>
    </sheetView>
  </sheetViews>
  <sheetFormatPr defaultRowHeight="12.75" x14ac:dyDescent="0.2"/>
  <cols>
    <col min="7" max="7" width="10.42578125" bestFit="1" customWidth="1"/>
    <col min="9" max="9" width="15.5703125" customWidth="1"/>
    <col min="12" max="12" width="10.28515625" bestFit="1" customWidth="1"/>
    <col min="13" max="13" width="11.7109375" customWidth="1"/>
    <col min="16" max="16" width="10.5703125" customWidth="1"/>
    <col min="17" max="17" width="10.42578125" customWidth="1"/>
  </cols>
  <sheetData>
    <row r="1" spans="1:15" s="2" customFormat="1" ht="15.75" x14ac:dyDescent="0.25">
      <c r="A1" s="49" t="s">
        <v>3</v>
      </c>
      <c r="K1" s="9"/>
      <c r="L1"/>
    </row>
    <row r="2" spans="1:15" x14ac:dyDescent="0.2">
      <c r="I2" s="38" t="s">
        <v>128</v>
      </c>
      <c r="K2" s="9"/>
    </row>
    <row r="3" spans="1:15" s="1" customFormat="1" x14ac:dyDescent="0.2">
      <c r="A3" s="1" t="s">
        <v>2</v>
      </c>
      <c r="B3" s="1" t="s">
        <v>0</v>
      </c>
      <c r="C3" s="1" t="s">
        <v>1</v>
      </c>
    </row>
    <row r="4" spans="1:15" x14ac:dyDescent="0.2">
      <c r="I4" s="1" t="s">
        <v>134</v>
      </c>
      <c r="J4" s="1" t="s">
        <v>58</v>
      </c>
      <c r="K4" s="1" t="s">
        <v>59</v>
      </c>
      <c r="L4" s="1" t="s">
        <v>56</v>
      </c>
      <c r="M4" s="27" t="s">
        <v>119</v>
      </c>
      <c r="N4" s="27" t="s">
        <v>120</v>
      </c>
      <c r="O4" s="27" t="s">
        <v>121</v>
      </c>
    </row>
    <row r="5" spans="1:15" x14ac:dyDescent="0.2">
      <c r="A5" t="s">
        <v>4</v>
      </c>
      <c r="B5" s="43">
        <v>500</v>
      </c>
      <c r="C5" s="38" t="s">
        <v>5</v>
      </c>
      <c r="I5">
        <v>500</v>
      </c>
      <c r="J5">
        <v>250</v>
      </c>
      <c r="K5">
        <v>750</v>
      </c>
      <c r="L5" s="6">
        <f ca="1">NORMINV(RAND(),mean,se)</f>
        <v>404.33762361107847</v>
      </c>
      <c r="M5" s="8">
        <f>(K5-J5)/(2*NORMINV(0.975,0,1))</f>
        <v>127.55336423116351</v>
      </c>
    </row>
    <row r="6" spans="1:15" x14ac:dyDescent="0.2">
      <c r="A6" t="s">
        <v>6</v>
      </c>
      <c r="B6" s="44">
        <v>1000</v>
      </c>
      <c r="C6" s="38" t="s">
        <v>7</v>
      </c>
      <c r="I6">
        <v>1000</v>
      </c>
      <c r="J6">
        <v>500</v>
      </c>
      <c r="K6">
        <v>1500</v>
      </c>
      <c r="L6" s="6">
        <f ca="1">NORMINV(RAND(),mean,se)</f>
        <v>927.94669705337924</v>
      </c>
      <c r="M6" s="8">
        <f t="shared" ref="M6:M13" si="0">(K6-J6)/(2*NORMINV(0.975,0,1))</f>
        <v>255.10672846232703</v>
      </c>
    </row>
    <row r="7" spans="1:15" x14ac:dyDescent="0.2">
      <c r="A7" t="s">
        <v>10</v>
      </c>
      <c r="B7" s="44">
        <v>1000</v>
      </c>
      <c r="C7" s="38" t="s">
        <v>11</v>
      </c>
      <c r="I7">
        <v>1000</v>
      </c>
      <c r="J7">
        <v>800</v>
      </c>
      <c r="K7">
        <v>1200</v>
      </c>
      <c r="L7" s="6">
        <f ca="1">NORMINV(RAND(),mean,se)</f>
        <v>945.61605381678669</v>
      </c>
      <c r="M7" s="8">
        <f t="shared" si="0"/>
        <v>102.04269138493082</v>
      </c>
    </row>
    <row r="8" spans="1:15" x14ac:dyDescent="0.2">
      <c r="A8" t="s">
        <v>105</v>
      </c>
      <c r="B8" s="44">
        <v>0.15</v>
      </c>
      <c r="C8" s="38" t="s">
        <v>13</v>
      </c>
      <c r="I8">
        <v>0.15</v>
      </c>
      <c r="J8" s="8">
        <v>0.1</v>
      </c>
      <c r="K8" s="8">
        <v>0.2</v>
      </c>
      <c r="L8" s="33">
        <f ca="1">BETAINV(RAND(),N8,O8)</f>
        <v>0.19266778505002513</v>
      </c>
      <c r="M8" s="30">
        <f t="shared" si="0"/>
        <v>2.5510672846232704E-2</v>
      </c>
      <c r="N8" s="6">
        <f>(mean^2)*(1-mean)/(se^2)</f>
        <v>29.387159978310045</v>
      </c>
      <c r="O8" s="6">
        <f>mean*(1-mean)/(se^2)-alpha</f>
        <v>166.52723987709024</v>
      </c>
    </row>
    <row r="9" spans="1:15" x14ac:dyDescent="0.2">
      <c r="A9" t="s">
        <v>14</v>
      </c>
      <c r="B9" s="44">
        <v>3000</v>
      </c>
      <c r="C9" s="38" t="s">
        <v>15</v>
      </c>
      <c r="I9">
        <v>3000</v>
      </c>
      <c r="J9">
        <v>2000</v>
      </c>
      <c r="K9">
        <v>4000</v>
      </c>
      <c r="L9" s="6">
        <f ca="1">NORMINV(RAND(),mean,se)</f>
        <v>3189.2245337992922</v>
      </c>
      <c r="M9" s="8">
        <f t="shared" si="0"/>
        <v>510.21345692465405</v>
      </c>
      <c r="N9" s="6"/>
      <c r="O9" s="6"/>
    </row>
    <row r="10" spans="1:15" x14ac:dyDescent="0.2">
      <c r="A10" t="s">
        <v>97</v>
      </c>
      <c r="B10" s="45">
        <v>0.5</v>
      </c>
      <c r="C10" s="38" t="s">
        <v>19</v>
      </c>
      <c r="I10" s="3">
        <v>0.5</v>
      </c>
      <c r="J10" s="3">
        <v>0.4</v>
      </c>
      <c r="K10" s="3">
        <v>0.6</v>
      </c>
      <c r="L10" s="3">
        <f ca="1">NORMINV(RAND(),mean,se)</f>
        <v>0.57127571465702776</v>
      </c>
      <c r="M10" s="30">
        <f t="shared" si="0"/>
        <v>5.1021345692465393E-2</v>
      </c>
      <c r="N10" s="6"/>
      <c r="O10" s="6"/>
    </row>
    <row r="11" spans="1:15" x14ac:dyDescent="0.2">
      <c r="A11" t="s">
        <v>98</v>
      </c>
      <c r="B11" s="46">
        <v>0.01</v>
      </c>
      <c r="C11" s="38" t="s">
        <v>57</v>
      </c>
      <c r="I11" s="10">
        <v>0.01</v>
      </c>
      <c r="J11" s="10">
        <v>5.0000000000000001E-3</v>
      </c>
      <c r="K11" s="10">
        <v>1.4999999999999999E-2</v>
      </c>
      <c r="L11" s="33">
        <f ca="1">BETAINV(RAND(),N11,O11)</f>
        <v>1.1203493793656705E-2</v>
      </c>
      <c r="M11" s="30">
        <f t="shared" si="0"/>
        <v>2.55106728462327E-3</v>
      </c>
      <c r="N11" s="6">
        <f>(mean^2)*(1-mean)/(se^2)</f>
        <v>15.212176929948734</v>
      </c>
      <c r="O11" s="6">
        <f>mean*(1-mean)/(se^2)-alpha</f>
        <v>1506.0055160649247</v>
      </c>
    </row>
    <row r="12" spans="1:15" x14ac:dyDescent="0.2">
      <c r="A12" t="s">
        <v>24</v>
      </c>
      <c r="B12" s="47">
        <v>0.95</v>
      </c>
      <c r="C12" s="38" t="s">
        <v>25</v>
      </c>
      <c r="I12" s="8">
        <v>0.95</v>
      </c>
      <c r="J12" s="8">
        <v>0.9</v>
      </c>
      <c r="K12" s="8">
        <v>1</v>
      </c>
      <c r="L12" s="33">
        <f ca="1">BETAINV(RAND(),N12,O12)</f>
        <v>0.92587319754837316</v>
      </c>
      <c r="M12" s="30">
        <f t="shared" si="0"/>
        <v>2.5510672846232697E-2</v>
      </c>
      <c r="N12" s="6">
        <f>(mean^2)*(1-mean)/(se^2)</f>
        <v>69.33833171352903</v>
      </c>
      <c r="O12" s="6">
        <f>mean*(1-mean)/(se^2)-alpha</f>
        <v>3.6493858796594196</v>
      </c>
    </row>
    <row r="13" spans="1:15" x14ac:dyDescent="0.2">
      <c r="A13" t="s">
        <v>26</v>
      </c>
      <c r="B13" s="44">
        <v>0.75</v>
      </c>
      <c r="C13" s="38" t="s">
        <v>27</v>
      </c>
      <c r="I13">
        <v>0.75</v>
      </c>
      <c r="J13">
        <v>0.6</v>
      </c>
      <c r="K13">
        <v>0.9</v>
      </c>
      <c r="L13" s="33">
        <f ca="1">BETAINV(RAND(),N13,O13)</f>
        <v>0.71883064986781708</v>
      </c>
      <c r="M13" s="30">
        <f t="shared" si="0"/>
        <v>7.6532018538698121E-2</v>
      </c>
      <c r="N13" s="6">
        <f>(mean^2)*(1-mean)/(se^2)</f>
        <v>24.009117629338263</v>
      </c>
      <c r="O13" s="6">
        <f>mean*(1-mean)/(se^2)-alpha</f>
        <v>8.0030392097794234</v>
      </c>
    </row>
    <row r="14" spans="1:15" x14ac:dyDescent="0.2">
      <c r="B14" s="42"/>
      <c r="C14" s="38"/>
    </row>
    <row r="15" spans="1:15" ht="15.75" x14ac:dyDescent="0.25">
      <c r="A15" t="s">
        <v>16</v>
      </c>
      <c r="B15" s="44">
        <v>1</v>
      </c>
      <c r="C15" s="38" t="s">
        <v>17</v>
      </c>
      <c r="I15" s="2"/>
      <c r="J15" s="2"/>
      <c r="L15" s="3"/>
    </row>
    <row r="16" spans="1:15" x14ac:dyDescent="0.2">
      <c r="A16" s="55" t="s">
        <v>20</v>
      </c>
      <c r="B16" s="44">
        <v>55</v>
      </c>
      <c r="C16" s="38" t="s">
        <v>28</v>
      </c>
    </row>
    <row r="17" spans="1:14" x14ac:dyDescent="0.2">
      <c r="A17" t="s">
        <v>8</v>
      </c>
      <c r="B17" s="45">
        <v>0.06</v>
      </c>
      <c r="C17" s="38" t="s">
        <v>9</v>
      </c>
      <c r="I17" s="1"/>
      <c r="J17" s="1"/>
    </row>
    <row r="18" spans="1:14" x14ac:dyDescent="0.2">
      <c r="A18" t="s">
        <v>21</v>
      </c>
      <c r="B18" s="45">
        <v>0.06</v>
      </c>
      <c r="C18" s="38" t="s">
        <v>22</v>
      </c>
    </row>
    <row r="19" spans="1:14" x14ac:dyDescent="0.2">
      <c r="A19" t="s">
        <v>37</v>
      </c>
      <c r="B19" s="44">
        <v>1.6999999999999999E-3</v>
      </c>
      <c r="C19" s="38" t="s">
        <v>99</v>
      </c>
      <c r="I19" t="s">
        <v>126</v>
      </c>
      <c r="L19" s="28"/>
      <c r="M19" s="28"/>
      <c r="N19" s="32"/>
    </row>
    <row r="20" spans="1:14" x14ac:dyDescent="0.2">
      <c r="A20" t="s">
        <v>38</v>
      </c>
      <c r="B20" s="44">
        <v>4.4000000000000003E-3</v>
      </c>
      <c r="C20" s="38" t="s">
        <v>100</v>
      </c>
      <c r="I20" t="s">
        <v>127</v>
      </c>
      <c r="L20" s="28"/>
      <c r="M20" s="28"/>
      <c r="N20" s="32"/>
    </row>
    <row r="21" spans="1:14" x14ac:dyDescent="0.2">
      <c r="A21" t="s">
        <v>39</v>
      </c>
      <c r="B21" s="44">
        <v>1.38E-2</v>
      </c>
      <c r="C21" s="38" t="s">
        <v>101</v>
      </c>
      <c r="L21" s="28"/>
      <c r="M21" s="28"/>
      <c r="N21" s="32"/>
    </row>
    <row r="22" spans="1:14" x14ac:dyDescent="0.2">
      <c r="A22" t="s">
        <v>40</v>
      </c>
      <c r="B22" s="44">
        <v>3.7900000000000003E-2</v>
      </c>
      <c r="C22" s="38" t="s">
        <v>102</v>
      </c>
      <c r="K22" s="30"/>
      <c r="L22" s="28"/>
      <c r="M22" s="28"/>
      <c r="N22" s="32"/>
    </row>
    <row r="23" spans="1:14" x14ac:dyDescent="0.2">
      <c r="A23" t="s">
        <v>41</v>
      </c>
      <c r="B23" s="44">
        <v>9.1200000000000003E-2</v>
      </c>
      <c r="C23" s="38" t="s">
        <v>103</v>
      </c>
      <c r="L23" s="28"/>
      <c r="M23" s="28"/>
      <c r="N23" s="32"/>
    </row>
    <row r="24" spans="1:14" x14ac:dyDescent="0.2">
      <c r="A24" t="s">
        <v>42</v>
      </c>
      <c r="B24" s="44">
        <v>0.1958</v>
      </c>
      <c r="C24" s="38" t="s">
        <v>104</v>
      </c>
      <c r="J24" s="3"/>
      <c r="K24" s="31"/>
      <c r="L24" s="28"/>
      <c r="M24" s="28"/>
      <c r="N24" s="32"/>
    </row>
    <row r="25" spans="1:14" x14ac:dyDescent="0.2">
      <c r="J25" s="10"/>
      <c r="K25" s="30"/>
      <c r="L25" s="28"/>
      <c r="M25" s="28"/>
      <c r="N25" s="32"/>
    </row>
    <row r="26" spans="1:14" x14ac:dyDescent="0.2">
      <c r="A26" s="55" t="s">
        <v>138</v>
      </c>
      <c r="B26" s="44">
        <v>1000</v>
      </c>
      <c r="C26" s="68" t="s">
        <v>139</v>
      </c>
      <c r="J26" s="8"/>
      <c r="K26" s="30"/>
      <c r="L26" s="28"/>
      <c r="M26" s="28"/>
      <c r="N26" s="32"/>
    </row>
    <row r="27" spans="1:14" x14ac:dyDescent="0.2">
      <c r="K27" s="30"/>
      <c r="L27" s="28"/>
      <c r="M27" s="28"/>
      <c r="N27" s="32"/>
    </row>
    <row r="28" spans="1:14" ht="15.75" x14ac:dyDescent="0.25">
      <c r="A28" s="2" t="s">
        <v>60</v>
      </c>
      <c r="M28" s="4"/>
    </row>
    <row r="30" spans="1:14" x14ac:dyDescent="0.2">
      <c r="A30" s="1" t="s">
        <v>29</v>
      </c>
      <c r="B30" s="1" t="s">
        <v>31</v>
      </c>
      <c r="C30" s="1" t="s">
        <v>30</v>
      </c>
      <c r="G30" s="1" t="s">
        <v>29</v>
      </c>
      <c r="H30" s="1" t="s">
        <v>31</v>
      </c>
      <c r="I30" s="1" t="s">
        <v>30</v>
      </c>
      <c r="J30" s="66" t="s">
        <v>136</v>
      </c>
      <c r="K30" s="66" t="s">
        <v>137</v>
      </c>
      <c r="L30" s="1" t="s">
        <v>54</v>
      </c>
      <c r="M30" s="4"/>
    </row>
    <row r="31" spans="1:14" x14ac:dyDescent="0.2">
      <c r="A31" t="s">
        <v>52</v>
      </c>
      <c r="B31" s="7">
        <f>'Markov Model'!D57</f>
        <v>7.7559516801447357</v>
      </c>
      <c r="C31" s="5">
        <f>'Markov Model'!C57</f>
        <v>9264.8968067327023</v>
      </c>
      <c r="G31" t="s">
        <v>52</v>
      </c>
      <c r="H31" s="7">
        <f>'Markov Model'!D57</f>
        <v>7.7559516801447357</v>
      </c>
      <c r="I31" s="5">
        <f>'Markov Model'!C57</f>
        <v>9264.8968067327023</v>
      </c>
    </row>
    <row r="32" spans="1:14" x14ac:dyDescent="0.2">
      <c r="A32" t="s">
        <v>53</v>
      </c>
      <c r="B32" s="7">
        <f>'Markov Model'!D58</f>
        <v>8.6247378423777317</v>
      </c>
      <c r="C32" s="5">
        <f>'Markov Model'!C58</f>
        <v>16155.440438662308</v>
      </c>
      <c r="G32" t="s">
        <v>53</v>
      </c>
      <c r="H32" s="7">
        <f>'Markov Model'!D58</f>
        <v>8.6247378423777317</v>
      </c>
      <c r="I32" s="5">
        <f>'Markov Model'!C58</f>
        <v>16155.440438662308</v>
      </c>
      <c r="J32" s="7">
        <f>'Markov Model'!D59</f>
        <v>0.86878616223299598</v>
      </c>
      <c r="K32" s="5">
        <f>'Markov Model'!C59</f>
        <v>6890.5436319296059</v>
      </c>
      <c r="L32" s="5">
        <f>'Markov Model'!C60</f>
        <v>7931.2308729908855</v>
      </c>
    </row>
    <row r="33" spans="1:12" x14ac:dyDescent="0.2">
      <c r="A33" t="s">
        <v>61</v>
      </c>
      <c r="B33" s="7">
        <f>'Markov Model'!D59</f>
        <v>0.86878616223299598</v>
      </c>
      <c r="C33" s="5">
        <f>'Markov Model'!C59</f>
        <v>6890.5436319296059</v>
      </c>
      <c r="D33" s="5">
        <f>'Markov Model'!C60</f>
        <v>7931.2308729908855</v>
      </c>
      <c r="E33" s="1" t="s">
        <v>54</v>
      </c>
      <c r="H33" s="7"/>
      <c r="I33" s="5"/>
      <c r="L33" s="5"/>
    </row>
    <row r="34" spans="1:12" x14ac:dyDescent="0.2">
      <c r="C34" s="5"/>
      <c r="L34" s="5"/>
    </row>
    <row r="35" spans="1:12" x14ac:dyDescent="0.2">
      <c r="A35" s="1" t="s">
        <v>122</v>
      </c>
      <c r="L35" s="5"/>
    </row>
    <row r="36" spans="1:12" x14ac:dyDescent="0.2">
      <c r="L36" s="5"/>
    </row>
    <row r="37" spans="1:12" x14ac:dyDescent="0.2">
      <c r="A37" t="s">
        <v>123</v>
      </c>
      <c r="B37" s="3" t="s">
        <v>124</v>
      </c>
      <c r="C37" t="s">
        <v>125</v>
      </c>
      <c r="D37" t="s">
        <v>54</v>
      </c>
      <c r="G37" s="55" t="s">
        <v>54</v>
      </c>
      <c r="H37" s="3" t="s">
        <v>124</v>
      </c>
      <c r="I37" t="s">
        <v>125</v>
      </c>
      <c r="L37" s="5"/>
    </row>
    <row r="38" spans="1:12" x14ac:dyDescent="0.2">
      <c r="A38">
        <v>1</v>
      </c>
      <c r="B38" s="58">
        <v>0.84527907774704136</v>
      </c>
      <c r="C38" s="57">
        <v>5404.0520063805052</v>
      </c>
      <c r="D38" s="57">
        <v>6393.2163336920121</v>
      </c>
      <c r="F38" s="9" t="s">
        <v>95</v>
      </c>
      <c r="G38" s="28">
        <f>MIN($D$38:$D$1037)</f>
        <v>3459.6155988561236</v>
      </c>
      <c r="H38" s="56">
        <f>AVERAGE(B38:B1037)</f>
        <v>0.84922634568818223</v>
      </c>
      <c r="I38" s="28">
        <f>AVERAGE(C38:C1037)</f>
        <v>6975.7370562701244</v>
      </c>
      <c r="L38" s="5"/>
    </row>
    <row r="39" spans="1:12" x14ac:dyDescent="0.2">
      <c r="A39">
        <v>2</v>
      </c>
      <c r="B39" s="58">
        <v>0.72309839997740255</v>
      </c>
      <c r="C39" s="57">
        <v>7297.868905428264</v>
      </c>
      <c r="D39" s="57">
        <v>10092.497654062474</v>
      </c>
      <c r="F39" s="9" t="s">
        <v>94</v>
      </c>
      <c r="G39" s="28">
        <f>MEDIAN($D$38:$D$1037)</f>
        <v>8167.3285830643108</v>
      </c>
      <c r="L39" s="5"/>
    </row>
    <row r="40" spans="1:12" x14ac:dyDescent="0.2">
      <c r="A40">
        <v>3</v>
      </c>
      <c r="B40" s="58">
        <v>0.96993071118578289</v>
      </c>
      <c r="C40" s="57">
        <v>5240.0568099976354</v>
      </c>
      <c r="D40" s="57">
        <v>5402.5063332528525</v>
      </c>
      <c r="F40" s="9" t="s">
        <v>96</v>
      </c>
      <c r="G40" s="28">
        <f>MAX($D$38:$D$1037)</f>
        <v>21484.016008745177</v>
      </c>
      <c r="L40" s="5"/>
    </row>
    <row r="41" spans="1:12" x14ac:dyDescent="0.2">
      <c r="A41">
        <v>4</v>
      </c>
      <c r="B41" s="58">
        <v>0.78320441438676092</v>
      </c>
      <c r="C41" s="57">
        <v>6820.8761446212957</v>
      </c>
      <c r="D41" s="57">
        <v>8708.9347548710575</v>
      </c>
      <c r="F41" s="9" t="s">
        <v>32</v>
      </c>
      <c r="G41" s="28">
        <f>AVERAGE($D$38:$D$1037)</f>
        <v>8516.9645777427631</v>
      </c>
    </row>
    <row r="42" spans="1:12" x14ac:dyDescent="0.2">
      <c r="A42">
        <v>5</v>
      </c>
      <c r="B42" s="58">
        <v>0.77941468907131295</v>
      </c>
      <c r="C42" s="57">
        <v>8733.0767757393678</v>
      </c>
      <c r="D42" s="57">
        <v>11204.660238242353</v>
      </c>
      <c r="F42" s="9" t="s">
        <v>93</v>
      </c>
      <c r="G42" s="28">
        <f>STDEV($D$38:$D$1037)</f>
        <v>2203.2488026606702</v>
      </c>
    </row>
    <row r="43" spans="1:12" x14ac:dyDescent="0.2">
      <c r="A43">
        <v>6</v>
      </c>
      <c r="B43" s="58">
        <v>0.79655011823017841</v>
      </c>
      <c r="C43" s="57">
        <v>6529.9897854467854</v>
      </c>
      <c r="D43" s="57">
        <v>8197.8392018263694</v>
      </c>
      <c r="F43" s="29">
        <v>2.5000000000000001E-2</v>
      </c>
      <c r="G43" s="28">
        <f>PERCENTILE($D$38:$D$1037,0.025)</f>
        <v>5156.0737590735071</v>
      </c>
    </row>
    <row r="44" spans="1:12" x14ac:dyDescent="0.2">
      <c r="A44">
        <v>7</v>
      </c>
      <c r="B44" s="58">
        <v>0.70852549871840775</v>
      </c>
      <c r="C44" s="57">
        <v>5121.5360205230991</v>
      </c>
      <c r="D44" s="57">
        <v>7228.4427727541424</v>
      </c>
      <c r="F44" s="29">
        <v>0.97499999999999998</v>
      </c>
      <c r="G44" s="28">
        <f>PERCENTILE($D$38:$D$1037,0.975)</f>
        <v>13471.612320016635</v>
      </c>
    </row>
    <row r="45" spans="1:12" x14ac:dyDescent="0.2">
      <c r="A45">
        <v>8</v>
      </c>
      <c r="B45" s="58">
        <v>0.82141747851862057</v>
      </c>
      <c r="C45" s="57">
        <v>7614.2413670201586</v>
      </c>
      <c r="D45" s="57">
        <v>9269.6364104060794</v>
      </c>
    </row>
    <row r="46" spans="1:12" x14ac:dyDescent="0.2">
      <c r="A46">
        <v>9</v>
      </c>
      <c r="B46" s="58">
        <v>0.87420649941819661</v>
      </c>
      <c r="C46" s="57">
        <v>5979.9028226610026</v>
      </c>
      <c r="D46" s="57">
        <v>6840.3779045806195</v>
      </c>
    </row>
    <row r="47" spans="1:12" x14ac:dyDescent="0.2">
      <c r="A47">
        <v>10</v>
      </c>
      <c r="B47" s="58">
        <v>0.83555244350584523</v>
      </c>
      <c r="C47" s="57">
        <v>6585.0542862835109</v>
      </c>
      <c r="D47" s="57">
        <v>7881.0783661330343</v>
      </c>
    </row>
    <row r="48" spans="1:12" x14ac:dyDescent="0.2">
      <c r="A48">
        <v>11</v>
      </c>
      <c r="B48" s="58">
        <v>0.91436129871420491</v>
      </c>
      <c r="C48" s="57">
        <v>8545.6226895786021</v>
      </c>
      <c r="D48" s="57">
        <v>9346.0021783463999</v>
      </c>
    </row>
    <row r="49" spans="1:5" x14ac:dyDescent="0.2">
      <c r="A49">
        <v>12</v>
      </c>
      <c r="B49" s="58">
        <v>0.98010614522817274</v>
      </c>
      <c r="C49" s="57">
        <v>8733.5005507137921</v>
      </c>
      <c r="D49" s="57">
        <v>8910.7701173331552</v>
      </c>
      <c r="E49" s="4"/>
    </row>
    <row r="50" spans="1:5" x14ac:dyDescent="0.2">
      <c r="A50">
        <v>13</v>
      </c>
      <c r="B50" s="58">
        <v>0.86650324162916448</v>
      </c>
      <c r="C50" s="57">
        <v>6891.6998788369219</v>
      </c>
      <c r="D50" s="57">
        <v>7953.4611617602559</v>
      </c>
    </row>
    <row r="51" spans="1:5" x14ac:dyDescent="0.2">
      <c r="A51">
        <v>14</v>
      </c>
      <c r="B51" s="58">
        <v>0.57599110640894935</v>
      </c>
      <c r="C51" s="57">
        <v>8509.7627750658212</v>
      </c>
      <c r="D51" s="57">
        <v>14774.121823026819</v>
      </c>
    </row>
    <row r="52" spans="1:5" x14ac:dyDescent="0.2">
      <c r="A52">
        <v>15</v>
      </c>
      <c r="B52" s="58">
        <v>0.72219705612540253</v>
      </c>
      <c r="C52" s="57">
        <v>8699.3636386892522</v>
      </c>
      <c r="D52" s="57">
        <v>12045.692467041423</v>
      </c>
    </row>
    <row r="53" spans="1:5" x14ac:dyDescent="0.2">
      <c r="A53">
        <v>16</v>
      </c>
      <c r="B53" s="58">
        <v>1.1873707659550128</v>
      </c>
      <c r="C53" s="57">
        <v>6153.2929666893069</v>
      </c>
      <c r="D53" s="57">
        <v>5182.2843741147353</v>
      </c>
    </row>
    <row r="54" spans="1:5" x14ac:dyDescent="0.2">
      <c r="A54">
        <v>17</v>
      </c>
      <c r="B54" s="58">
        <v>1.001928344273181</v>
      </c>
      <c r="C54" s="57">
        <v>6852.2101440112237</v>
      </c>
      <c r="D54" s="57">
        <v>6839.0221548048476</v>
      </c>
    </row>
    <row r="55" spans="1:5" x14ac:dyDescent="0.2">
      <c r="A55">
        <v>18</v>
      </c>
      <c r="B55" s="58">
        <v>0.85247008037617533</v>
      </c>
      <c r="C55" s="57">
        <v>6286.070787442779</v>
      </c>
      <c r="D55" s="57">
        <v>7373.9488718112916</v>
      </c>
    </row>
    <row r="56" spans="1:5" x14ac:dyDescent="0.2">
      <c r="A56">
        <v>19</v>
      </c>
      <c r="B56" s="58">
        <v>0.84491231951237911</v>
      </c>
      <c r="C56" s="57">
        <v>8966.728510427216</v>
      </c>
      <c r="D56" s="57">
        <v>10612.614236234771</v>
      </c>
    </row>
    <row r="57" spans="1:5" x14ac:dyDescent="0.2">
      <c r="A57">
        <v>20</v>
      </c>
      <c r="B57" s="58">
        <v>0.7744116862632513</v>
      </c>
      <c r="C57" s="57">
        <v>4925.5368469497644</v>
      </c>
      <c r="D57" s="57">
        <v>6360.3596566534652</v>
      </c>
    </row>
    <row r="58" spans="1:5" x14ac:dyDescent="0.2">
      <c r="A58">
        <v>21</v>
      </c>
      <c r="B58" s="58">
        <v>0.81417876491739882</v>
      </c>
      <c r="C58" s="57">
        <v>6754.7731916165849</v>
      </c>
      <c r="D58" s="57">
        <v>8296.4251619874649</v>
      </c>
    </row>
    <row r="59" spans="1:5" x14ac:dyDescent="0.2">
      <c r="A59">
        <v>22</v>
      </c>
      <c r="B59" s="58">
        <v>0.80498908210312603</v>
      </c>
      <c r="C59" s="57">
        <v>5986.2025707803168</v>
      </c>
      <c r="D59" s="57">
        <v>7436.3773420885136</v>
      </c>
    </row>
    <row r="60" spans="1:5" x14ac:dyDescent="0.2">
      <c r="A60">
        <v>23</v>
      </c>
      <c r="B60" s="58">
        <v>0.97214742695116296</v>
      </c>
      <c r="C60" s="57">
        <v>8051.3981158401257</v>
      </c>
      <c r="D60" s="57">
        <v>8282.0752209269576</v>
      </c>
    </row>
    <row r="61" spans="1:5" x14ac:dyDescent="0.2">
      <c r="A61">
        <v>24</v>
      </c>
      <c r="B61" s="58">
        <v>1.0824137401037071</v>
      </c>
      <c r="C61" s="57">
        <v>5683.165643662127</v>
      </c>
      <c r="D61" s="57">
        <v>5250.4559329758858</v>
      </c>
    </row>
    <row r="62" spans="1:5" x14ac:dyDescent="0.2">
      <c r="A62">
        <v>25</v>
      </c>
      <c r="B62" s="58">
        <v>0.7023846712280335</v>
      </c>
      <c r="C62" s="57">
        <v>7635.7590838916331</v>
      </c>
      <c r="D62" s="57">
        <v>10871.192662193844</v>
      </c>
    </row>
    <row r="63" spans="1:5" x14ac:dyDescent="0.2">
      <c r="A63">
        <v>26</v>
      </c>
      <c r="B63" s="58">
        <v>0.82067441257444251</v>
      </c>
      <c r="C63" s="57">
        <v>7307.6976415575136</v>
      </c>
      <c r="D63" s="57">
        <v>8904.5028449630627</v>
      </c>
    </row>
    <row r="64" spans="1:5" x14ac:dyDescent="0.2">
      <c r="A64">
        <v>27</v>
      </c>
      <c r="B64" s="58">
        <v>0.95787244456612441</v>
      </c>
      <c r="C64" s="57">
        <v>7222.5747293173881</v>
      </c>
      <c r="D64" s="57">
        <v>7540.2260189131011</v>
      </c>
    </row>
    <row r="65" spans="1:4" x14ac:dyDescent="0.2">
      <c r="A65">
        <v>28</v>
      </c>
      <c r="B65" s="58">
        <v>0.83617929370455713</v>
      </c>
      <c r="C65" s="57">
        <v>7288.8560123328734</v>
      </c>
      <c r="D65" s="57">
        <v>8716.8578165105901</v>
      </c>
    </row>
    <row r="66" spans="1:4" x14ac:dyDescent="0.2">
      <c r="A66">
        <v>29</v>
      </c>
      <c r="B66" s="58">
        <v>0.77067148939806174</v>
      </c>
      <c r="C66" s="57">
        <v>7125.2893524208266</v>
      </c>
      <c r="D66" s="57">
        <v>9245.559814319955</v>
      </c>
    </row>
    <row r="67" spans="1:4" x14ac:dyDescent="0.2">
      <c r="A67">
        <v>30</v>
      </c>
      <c r="B67" s="58">
        <v>0.90812849544260743</v>
      </c>
      <c r="C67" s="57">
        <v>5447.4279341630163</v>
      </c>
      <c r="D67" s="57">
        <v>5998.5210920047457</v>
      </c>
    </row>
    <row r="68" spans="1:4" x14ac:dyDescent="0.2">
      <c r="A68">
        <v>31</v>
      </c>
      <c r="B68" s="58">
        <v>1.0193542711353469</v>
      </c>
      <c r="C68" s="57">
        <v>6774.8935948826438</v>
      </c>
      <c r="D68" s="57">
        <v>6646.2600753483212</v>
      </c>
    </row>
    <row r="69" spans="1:4" x14ac:dyDescent="0.2">
      <c r="A69">
        <v>32</v>
      </c>
      <c r="B69" s="58">
        <v>0.71228011997097873</v>
      </c>
      <c r="C69" s="57">
        <v>7256.7516630103091</v>
      </c>
      <c r="D69" s="57">
        <v>10188.058685824306</v>
      </c>
    </row>
    <row r="70" spans="1:4" x14ac:dyDescent="0.2">
      <c r="A70">
        <v>33</v>
      </c>
      <c r="B70" s="58">
        <v>0.74796367501519434</v>
      </c>
      <c r="C70" s="57">
        <v>7002.8518883516699</v>
      </c>
      <c r="D70" s="57">
        <v>9362.5561270865346</v>
      </c>
    </row>
    <row r="71" spans="1:4" x14ac:dyDescent="0.2">
      <c r="A71">
        <v>34</v>
      </c>
      <c r="B71" s="58">
        <v>0.70658906639762975</v>
      </c>
      <c r="C71" s="57">
        <v>6803.3639857494345</v>
      </c>
      <c r="D71" s="57">
        <v>9628.4591841120746</v>
      </c>
    </row>
    <row r="72" spans="1:4" x14ac:dyDescent="0.2">
      <c r="A72">
        <v>35</v>
      </c>
      <c r="B72" s="58">
        <v>0.6642367836564036</v>
      </c>
      <c r="C72" s="57">
        <v>7248.0439817223405</v>
      </c>
      <c r="D72" s="57">
        <v>10911.83770616294</v>
      </c>
    </row>
    <row r="73" spans="1:4" x14ac:dyDescent="0.2">
      <c r="A73">
        <v>36</v>
      </c>
      <c r="B73" s="58">
        <v>1.0495910908954444</v>
      </c>
      <c r="C73" s="57">
        <v>6611.5774419647423</v>
      </c>
      <c r="D73" s="57">
        <v>6299.1935614889453</v>
      </c>
    </row>
    <row r="74" spans="1:4" x14ac:dyDescent="0.2">
      <c r="A74">
        <v>37</v>
      </c>
      <c r="B74" s="58">
        <v>0.84885443393786719</v>
      </c>
      <c r="C74" s="57">
        <v>5360.1858393940893</v>
      </c>
      <c r="D74" s="57">
        <v>6314.6113457026886</v>
      </c>
    </row>
    <row r="75" spans="1:4" x14ac:dyDescent="0.2">
      <c r="A75">
        <v>38</v>
      </c>
      <c r="B75" s="58">
        <v>0.75580708400447705</v>
      </c>
      <c r="C75" s="57">
        <v>8657.5972965534147</v>
      </c>
      <c r="D75" s="57">
        <v>11454.771303125457</v>
      </c>
    </row>
    <row r="76" spans="1:4" x14ac:dyDescent="0.2">
      <c r="A76">
        <v>39</v>
      </c>
      <c r="B76" s="58">
        <v>1.0185583294192257</v>
      </c>
      <c r="C76" s="57">
        <v>7113.980381398309</v>
      </c>
      <c r="D76" s="57">
        <v>6984.3622853240486</v>
      </c>
    </row>
    <row r="77" spans="1:4" x14ac:dyDescent="0.2">
      <c r="A77">
        <v>40</v>
      </c>
      <c r="B77" s="58">
        <v>0.76181714828990366</v>
      </c>
      <c r="C77" s="57">
        <v>6818.4584420949541</v>
      </c>
      <c r="D77" s="57">
        <v>8950.2559208607399</v>
      </c>
    </row>
    <row r="78" spans="1:4" x14ac:dyDescent="0.2">
      <c r="A78">
        <v>41</v>
      </c>
      <c r="B78" s="58">
        <v>0.69765611956049511</v>
      </c>
      <c r="C78" s="57">
        <v>9228.3935748566437</v>
      </c>
      <c r="D78" s="57">
        <v>13227.711068699988</v>
      </c>
    </row>
    <row r="79" spans="1:4" x14ac:dyDescent="0.2">
      <c r="A79">
        <v>42</v>
      </c>
      <c r="B79" s="58">
        <v>0.97819239640148758</v>
      </c>
      <c r="C79" s="57">
        <v>5740.3301124687441</v>
      </c>
      <c r="D79" s="57">
        <v>5868.3037545434909</v>
      </c>
    </row>
    <row r="80" spans="1:4" x14ac:dyDescent="0.2">
      <c r="A80">
        <v>43</v>
      </c>
      <c r="B80" s="58">
        <v>0.76168133652380909</v>
      </c>
      <c r="C80" s="57">
        <v>7668.392122305886</v>
      </c>
      <c r="D80" s="57">
        <v>10067.716976371237</v>
      </c>
    </row>
    <row r="81" spans="1:4" x14ac:dyDescent="0.2">
      <c r="A81">
        <v>44</v>
      </c>
      <c r="B81" s="58">
        <v>1.1932762266356844</v>
      </c>
      <c r="C81" s="57">
        <v>6269.9017402814115</v>
      </c>
      <c r="D81" s="57">
        <v>5254.3590497555906</v>
      </c>
    </row>
    <row r="82" spans="1:4" x14ac:dyDescent="0.2">
      <c r="A82">
        <v>45</v>
      </c>
      <c r="B82" s="58">
        <v>0.98481993492539477</v>
      </c>
      <c r="C82" s="57">
        <v>6883.4193542708399</v>
      </c>
      <c r="D82" s="57">
        <v>6989.5207338510008</v>
      </c>
    </row>
    <row r="83" spans="1:4" x14ac:dyDescent="0.2">
      <c r="A83">
        <v>46</v>
      </c>
      <c r="B83" s="58">
        <v>0.95121108496378248</v>
      </c>
      <c r="C83" s="57">
        <v>8041.813508014453</v>
      </c>
      <c r="D83" s="57">
        <v>8454.2891006370537</v>
      </c>
    </row>
    <row r="84" spans="1:4" x14ac:dyDescent="0.2">
      <c r="A84">
        <v>47</v>
      </c>
      <c r="B84" s="58">
        <v>0.72112540158158467</v>
      </c>
      <c r="C84" s="57">
        <v>8671.0450063609587</v>
      </c>
      <c r="D84" s="57">
        <v>12024.323352559033</v>
      </c>
    </row>
    <row r="85" spans="1:4" x14ac:dyDescent="0.2">
      <c r="A85">
        <v>48</v>
      </c>
      <c r="B85" s="58">
        <v>0.8272971948995913</v>
      </c>
      <c r="C85" s="57">
        <v>6140.7818556515394</v>
      </c>
      <c r="D85" s="57">
        <v>7422.7035864624722</v>
      </c>
    </row>
    <row r="86" spans="1:4" x14ac:dyDescent="0.2">
      <c r="A86">
        <v>49</v>
      </c>
      <c r="B86" s="58">
        <v>1.015895345685025</v>
      </c>
      <c r="C86" s="57">
        <v>4888.9875845113093</v>
      </c>
      <c r="D86" s="57">
        <v>4812.4913705699009</v>
      </c>
    </row>
    <row r="87" spans="1:4" x14ac:dyDescent="0.2">
      <c r="A87">
        <v>50</v>
      </c>
      <c r="B87" s="58">
        <v>0.69457303165967943</v>
      </c>
      <c r="C87" s="57">
        <v>5821.6031803979022</v>
      </c>
      <c r="D87" s="57">
        <v>8381.5566038998168</v>
      </c>
    </row>
    <row r="88" spans="1:4" x14ac:dyDescent="0.2">
      <c r="A88">
        <v>51</v>
      </c>
      <c r="B88" s="58">
        <v>0.92094103128260407</v>
      </c>
      <c r="C88" s="57">
        <v>5604.323701400921</v>
      </c>
      <c r="D88" s="57">
        <v>6085.4316520089478</v>
      </c>
    </row>
    <row r="89" spans="1:4" x14ac:dyDescent="0.2">
      <c r="A89">
        <v>52</v>
      </c>
      <c r="B89" s="58">
        <v>0.84250597203881483</v>
      </c>
      <c r="C89" s="57">
        <v>7635.6869421251286</v>
      </c>
      <c r="D89" s="57">
        <v>9063.0656583326236</v>
      </c>
    </row>
    <row r="90" spans="1:4" x14ac:dyDescent="0.2">
      <c r="A90">
        <v>53</v>
      </c>
      <c r="B90" s="58">
        <v>0.83200327197021551</v>
      </c>
      <c r="C90" s="57">
        <v>7531.1631077336224</v>
      </c>
      <c r="D90" s="57">
        <v>9051.8431374669253</v>
      </c>
    </row>
    <row r="91" spans="1:4" x14ac:dyDescent="0.2">
      <c r="A91">
        <v>54</v>
      </c>
      <c r="B91" s="59">
        <v>0.85705462222068185</v>
      </c>
      <c r="C91" s="60">
        <v>9377.0410723109926</v>
      </c>
      <c r="D91" s="60">
        <v>10941.007526468378</v>
      </c>
    </row>
    <row r="92" spans="1:4" x14ac:dyDescent="0.2">
      <c r="A92">
        <v>55</v>
      </c>
      <c r="B92" s="58">
        <v>0.79985319465224958</v>
      </c>
      <c r="C92" s="57">
        <v>4656.0137797857133</v>
      </c>
      <c r="D92" s="57">
        <v>5821.0854328212044</v>
      </c>
    </row>
    <row r="93" spans="1:4" x14ac:dyDescent="0.2">
      <c r="A93">
        <v>56</v>
      </c>
      <c r="B93" s="58">
        <v>1.0163601533969828</v>
      </c>
      <c r="C93" s="57">
        <v>7909.8716826321179</v>
      </c>
      <c r="D93" s="57">
        <v>7782.5480034758702</v>
      </c>
    </row>
    <row r="94" spans="1:4" x14ac:dyDescent="0.2">
      <c r="A94">
        <v>57</v>
      </c>
      <c r="B94" s="58">
        <v>0.96126598679195308</v>
      </c>
      <c r="C94" s="57">
        <v>4621.9427797602948</v>
      </c>
      <c r="D94" s="57">
        <v>4808.1830037336194</v>
      </c>
    </row>
    <row r="95" spans="1:4" x14ac:dyDescent="0.2">
      <c r="A95">
        <v>58</v>
      </c>
      <c r="B95" s="58">
        <v>0.88564133892801777</v>
      </c>
      <c r="C95" s="57">
        <v>4435.7242537264265</v>
      </c>
      <c r="D95" s="57">
        <v>5008.4882657977969</v>
      </c>
    </row>
    <row r="96" spans="1:4" x14ac:dyDescent="0.2">
      <c r="A96">
        <v>59</v>
      </c>
      <c r="B96" s="58">
        <v>0.69443091796372158</v>
      </c>
      <c r="C96" s="57">
        <v>7044.2943099184467</v>
      </c>
      <c r="D96" s="57">
        <v>10143.981392093569</v>
      </c>
    </row>
    <row r="97" spans="1:4" x14ac:dyDescent="0.2">
      <c r="A97">
        <v>60</v>
      </c>
      <c r="B97" s="58">
        <v>0.93356166978993382</v>
      </c>
      <c r="C97" s="57">
        <v>6612.3049353673377</v>
      </c>
      <c r="D97" s="57">
        <v>7082.8796311391097</v>
      </c>
    </row>
    <row r="98" spans="1:4" x14ac:dyDescent="0.2">
      <c r="A98">
        <v>61</v>
      </c>
      <c r="B98" s="58">
        <v>0.88390637040829745</v>
      </c>
      <c r="C98" s="57">
        <v>7130.5152243313096</v>
      </c>
      <c r="D98" s="57">
        <v>8067.0481207614266</v>
      </c>
    </row>
    <row r="99" spans="1:4" x14ac:dyDescent="0.2">
      <c r="A99">
        <v>62</v>
      </c>
      <c r="B99" s="58">
        <v>0.62183650052436157</v>
      </c>
      <c r="C99" s="57">
        <v>8794.2975986653582</v>
      </c>
      <c r="D99" s="57">
        <v>14142.459619609972</v>
      </c>
    </row>
    <row r="100" spans="1:4" x14ac:dyDescent="0.2">
      <c r="A100">
        <v>63</v>
      </c>
      <c r="B100" s="58">
        <v>0.85307262255688432</v>
      </c>
      <c r="C100" s="57">
        <v>6926.1990028332584</v>
      </c>
      <c r="D100" s="57">
        <v>8119.1200135735307</v>
      </c>
    </row>
    <row r="101" spans="1:4" x14ac:dyDescent="0.2">
      <c r="A101">
        <v>64</v>
      </c>
      <c r="B101" s="58">
        <v>0.94377460670186331</v>
      </c>
      <c r="C101" s="57">
        <v>6960.3721144132942</v>
      </c>
      <c r="D101" s="57">
        <v>7375.0364387712998</v>
      </c>
    </row>
    <row r="102" spans="1:4" x14ac:dyDescent="0.2">
      <c r="A102">
        <v>65</v>
      </c>
      <c r="B102" s="58">
        <v>0.90849193624443814</v>
      </c>
      <c r="C102" s="57">
        <v>5555.5810782184708</v>
      </c>
      <c r="D102" s="57">
        <v>6115.1682877718913</v>
      </c>
    </row>
    <row r="103" spans="1:4" x14ac:dyDescent="0.2">
      <c r="A103">
        <v>66</v>
      </c>
      <c r="B103" s="58">
        <v>0.60456929211399846</v>
      </c>
      <c r="C103" s="57">
        <v>8297.9324177202034</v>
      </c>
      <c r="D103" s="57">
        <v>13725.362048583065</v>
      </c>
    </row>
    <row r="104" spans="1:4" x14ac:dyDescent="0.2">
      <c r="A104">
        <v>67</v>
      </c>
      <c r="B104" s="58">
        <v>0.7157129579258612</v>
      </c>
      <c r="C104" s="57">
        <v>4792.7643453058408</v>
      </c>
      <c r="D104" s="57">
        <v>6696.4895524531084</v>
      </c>
    </row>
    <row r="105" spans="1:4" x14ac:dyDescent="0.2">
      <c r="A105">
        <v>68</v>
      </c>
      <c r="B105" s="58">
        <v>0.79359292288394201</v>
      </c>
      <c r="C105" s="57">
        <v>8437.2769902015662</v>
      </c>
      <c r="D105" s="57">
        <v>10631.744244316384</v>
      </c>
    </row>
    <row r="106" spans="1:4" x14ac:dyDescent="0.2">
      <c r="A106">
        <v>69</v>
      </c>
      <c r="B106" s="58">
        <v>0.73261341080288123</v>
      </c>
      <c r="C106" s="57">
        <v>7540.9197973379023</v>
      </c>
      <c r="D106" s="57">
        <v>10293.177392253445</v>
      </c>
    </row>
    <row r="107" spans="1:4" x14ac:dyDescent="0.2">
      <c r="A107">
        <v>70</v>
      </c>
      <c r="B107" s="58">
        <v>0.80636585207838873</v>
      </c>
      <c r="C107" s="57">
        <v>8274.8392943581384</v>
      </c>
      <c r="D107" s="57">
        <v>10261.892009724788</v>
      </c>
    </row>
    <row r="108" spans="1:4" x14ac:dyDescent="0.2">
      <c r="A108">
        <v>71</v>
      </c>
      <c r="B108" s="58">
        <v>0.83394864655590695</v>
      </c>
      <c r="C108" s="57">
        <v>7730.2416472478217</v>
      </c>
      <c r="D108" s="57">
        <v>9269.4456417342426</v>
      </c>
    </row>
    <row r="109" spans="1:4" x14ac:dyDescent="0.2">
      <c r="A109">
        <v>72</v>
      </c>
      <c r="B109" s="58">
        <v>0.96783358358259264</v>
      </c>
      <c r="C109" s="57">
        <v>6502.6614609381159</v>
      </c>
      <c r="D109" s="57">
        <v>6718.7805540570953</v>
      </c>
    </row>
    <row r="110" spans="1:4" x14ac:dyDescent="0.2">
      <c r="A110">
        <v>73</v>
      </c>
      <c r="B110" s="58">
        <v>0.73023918074019445</v>
      </c>
      <c r="C110" s="57">
        <v>8230.6672204673105</v>
      </c>
      <c r="D110" s="57">
        <v>11271.193654830236</v>
      </c>
    </row>
    <row r="111" spans="1:4" x14ac:dyDescent="0.2">
      <c r="A111">
        <v>74</v>
      </c>
      <c r="B111" s="58">
        <v>0.65880383767233042</v>
      </c>
      <c r="C111" s="57">
        <v>5743.9455379224564</v>
      </c>
      <c r="D111" s="57">
        <v>8718.7493597742596</v>
      </c>
    </row>
    <row r="112" spans="1:4" x14ac:dyDescent="0.2">
      <c r="A112">
        <v>75</v>
      </c>
      <c r="B112" s="59">
        <v>0.65758164605929359</v>
      </c>
      <c r="C112" s="60">
        <v>6660.7446189779475</v>
      </c>
      <c r="D112" s="60">
        <v>10129.152264048065</v>
      </c>
    </row>
    <row r="113" spans="1:4" x14ac:dyDescent="0.2">
      <c r="A113">
        <v>76</v>
      </c>
      <c r="B113" s="58">
        <v>1.0307238535608985</v>
      </c>
      <c r="C113" s="57">
        <v>6592.0473344305756</v>
      </c>
      <c r="D113" s="57">
        <v>6395.5513512728621</v>
      </c>
    </row>
    <row r="114" spans="1:4" x14ac:dyDescent="0.2">
      <c r="A114">
        <v>77</v>
      </c>
      <c r="B114" s="58">
        <v>1.2232998070163088</v>
      </c>
      <c r="C114" s="57">
        <v>7102.0463834269576</v>
      </c>
      <c r="D114" s="57">
        <v>5805.646614748689</v>
      </c>
    </row>
    <row r="115" spans="1:4" x14ac:dyDescent="0.2">
      <c r="A115">
        <v>78</v>
      </c>
      <c r="B115" s="58">
        <v>1.046837946920923</v>
      </c>
      <c r="C115" s="57">
        <v>5718.1355799149187</v>
      </c>
      <c r="D115" s="57">
        <v>5462.2929907477455</v>
      </c>
    </row>
    <row r="116" spans="1:4" x14ac:dyDescent="0.2">
      <c r="A116">
        <v>79</v>
      </c>
      <c r="B116" s="59">
        <v>0.7259262604478014</v>
      </c>
      <c r="C116" s="60">
        <v>5094.8813031716718</v>
      </c>
      <c r="D116" s="60">
        <v>7018.4557037911782</v>
      </c>
    </row>
    <row r="117" spans="1:4" x14ac:dyDescent="0.2">
      <c r="A117">
        <v>80</v>
      </c>
      <c r="B117" s="58">
        <v>0.77305678883246465</v>
      </c>
      <c r="C117" s="57">
        <v>6313.1471893051121</v>
      </c>
      <c r="D117" s="57">
        <v>8166.4727359030867</v>
      </c>
    </row>
    <row r="118" spans="1:4" x14ac:dyDescent="0.2">
      <c r="A118">
        <v>81</v>
      </c>
      <c r="B118" s="58">
        <v>0.94178813826366259</v>
      </c>
      <c r="C118" s="57">
        <v>6429.2876295089563</v>
      </c>
      <c r="D118" s="57">
        <v>6826.6814671953489</v>
      </c>
    </row>
    <row r="119" spans="1:4" x14ac:dyDescent="0.2">
      <c r="A119">
        <v>82</v>
      </c>
      <c r="B119" s="58">
        <v>0.6260843477889857</v>
      </c>
      <c r="C119" s="57">
        <v>8393.133408621954</v>
      </c>
      <c r="D119" s="57">
        <v>13405.755052433862</v>
      </c>
    </row>
    <row r="120" spans="1:4" x14ac:dyDescent="0.2">
      <c r="A120">
        <v>83</v>
      </c>
      <c r="B120" s="58">
        <v>0.83214075500956675</v>
      </c>
      <c r="C120" s="57">
        <v>7326.9413728604322</v>
      </c>
      <c r="D120" s="57">
        <v>8804.9303302975441</v>
      </c>
    </row>
    <row r="121" spans="1:4" x14ac:dyDescent="0.2">
      <c r="A121">
        <v>84</v>
      </c>
      <c r="B121" s="58">
        <v>1.0402283283660427</v>
      </c>
      <c r="C121" s="57">
        <v>7800.194726036987</v>
      </c>
      <c r="D121" s="57">
        <v>7498.5409581079975</v>
      </c>
    </row>
    <row r="122" spans="1:4" x14ac:dyDescent="0.2">
      <c r="A122">
        <v>85</v>
      </c>
      <c r="B122" s="58">
        <v>0.87452235069369522</v>
      </c>
      <c r="C122" s="57">
        <v>7816.600624805249</v>
      </c>
      <c r="D122" s="57">
        <v>8938.1370511627356</v>
      </c>
    </row>
    <row r="123" spans="1:4" x14ac:dyDescent="0.2">
      <c r="A123">
        <v>86</v>
      </c>
      <c r="B123" s="58">
        <v>0.95247523365594233</v>
      </c>
      <c r="C123" s="57">
        <v>6801.8126355124605</v>
      </c>
      <c r="D123" s="57">
        <v>7141.1963221391688</v>
      </c>
    </row>
    <row r="124" spans="1:4" x14ac:dyDescent="0.2">
      <c r="A124">
        <v>87</v>
      </c>
      <c r="B124" s="58">
        <v>0.87102637984521714</v>
      </c>
      <c r="C124" s="57">
        <v>7095.1998368969507</v>
      </c>
      <c r="D124" s="57">
        <v>8145.7921379577274</v>
      </c>
    </row>
    <row r="125" spans="1:4" x14ac:dyDescent="0.2">
      <c r="A125">
        <v>88</v>
      </c>
      <c r="B125" s="58">
        <v>0.88178056829326223</v>
      </c>
      <c r="C125" s="57">
        <v>6828.6989865971691</v>
      </c>
      <c r="D125" s="57">
        <v>7744.2157744692813</v>
      </c>
    </row>
    <row r="126" spans="1:4" x14ac:dyDescent="0.2">
      <c r="A126">
        <v>89</v>
      </c>
      <c r="B126" s="58">
        <v>0.78998192273897594</v>
      </c>
      <c r="C126" s="57">
        <v>6077.6023559447658</v>
      </c>
      <c r="D126" s="57">
        <v>7693.3435829428636</v>
      </c>
    </row>
    <row r="127" spans="1:4" x14ac:dyDescent="0.2">
      <c r="A127">
        <v>90</v>
      </c>
      <c r="B127" s="58">
        <v>0.68687974314473266</v>
      </c>
      <c r="C127" s="57">
        <v>8221.9911210768532</v>
      </c>
      <c r="D127" s="57">
        <v>11970.059101516399</v>
      </c>
    </row>
    <row r="128" spans="1:4" x14ac:dyDescent="0.2">
      <c r="A128">
        <v>91</v>
      </c>
      <c r="B128" s="58">
        <v>0.70418953679979612</v>
      </c>
      <c r="C128" s="57">
        <v>7201.79243042294</v>
      </c>
      <c r="D128" s="57">
        <v>10227.065376676333</v>
      </c>
    </row>
    <row r="129" spans="1:4" x14ac:dyDescent="0.2">
      <c r="A129">
        <v>92</v>
      </c>
      <c r="B129" s="58">
        <v>0.90896693748384472</v>
      </c>
      <c r="C129" s="57">
        <v>8208.7971114713437</v>
      </c>
      <c r="D129" s="57">
        <v>9030.9083564629</v>
      </c>
    </row>
    <row r="130" spans="1:4" x14ac:dyDescent="0.2">
      <c r="A130">
        <v>93</v>
      </c>
      <c r="B130" s="58">
        <v>0.82714340653140184</v>
      </c>
      <c r="C130" s="57">
        <v>6962.0796046914984</v>
      </c>
      <c r="D130" s="57">
        <v>8417.0163839989327</v>
      </c>
    </row>
    <row r="131" spans="1:4" x14ac:dyDescent="0.2">
      <c r="A131">
        <v>94</v>
      </c>
      <c r="B131" s="58">
        <v>0.90802244030120782</v>
      </c>
      <c r="C131" s="57">
        <v>5497.7895417324962</v>
      </c>
      <c r="D131" s="57">
        <v>6054.6846616574558</v>
      </c>
    </row>
    <row r="132" spans="1:4" x14ac:dyDescent="0.2">
      <c r="A132">
        <v>95</v>
      </c>
      <c r="B132" s="58">
        <v>0.87953514910946939</v>
      </c>
      <c r="C132" s="57">
        <v>6307.7684663053897</v>
      </c>
      <c r="D132" s="57">
        <v>7171.70709174274</v>
      </c>
    </row>
    <row r="133" spans="1:4" x14ac:dyDescent="0.2">
      <c r="A133">
        <v>96</v>
      </c>
      <c r="B133" s="58">
        <v>0.74565940758632809</v>
      </c>
      <c r="C133" s="57">
        <v>5730.0418606028743</v>
      </c>
      <c r="D133" s="57">
        <v>7684.5296958712124</v>
      </c>
    </row>
    <row r="134" spans="1:4" x14ac:dyDescent="0.2">
      <c r="A134">
        <v>97</v>
      </c>
      <c r="B134" s="58">
        <v>0.8914498018216932</v>
      </c>
      <c r="C134" s="57">
        <v>6485.7941827678915</v>
      </c>
      <c r="D134" s="57">
        <v>7275.5573780083387</v>
      </c>
    </row>
    <row r="135" spans="1:4" x14ac:dyDescent="0.2">
      <c r="A135">
        <v>98</v>
      </c>
      <c r="B135" s="58">
        <v>1.0512592954443507</v>
      </c>
      <c r="C135" s="57">
        <v>6497.8638530032022</v>
      </c>
      <c r="D135" s="57">
        <v>6181.0286778550271</v>
      </c>
    </row>
    <row r="136" spans="1:4" x14ac:dyDescent="0.2">
      <c r="A136">
        <v>99</v>
      </c>
      <c r="B136" s="58">
        <v>1.1492102609417882</v>
      </c>
      <c r="C136" s="57">
        <v>5775.6436621485591</v>
      </c>
      <c r="D136" s="57">
        <v>5025.7501681331723</v>
      </c>
    </row>
    <row r="137" spans="1:4" x14ac:dyDescent="0.2">
      <c r="A137">
        <v>100</v>
      </c>
      <c r="B137" s="58">
        <v>0.98093742062978073</v>
      </c>
      <c r="C137" s="57">
        <v>6348.1986666319244</v>
      </c>
      <c r="D137" s="57">
        <v>6471.5633567697505</v>
      </c>
    </row>
    <row r="138" spans="1:4" x14ac:dyDescent="0.2">
      <c r="A138">
        <v>101</v>
      </c>
      <c r="B138" s="58">
        <v>1.0648352897033497</v>
      </c>
      <c r="C138" s="57">
        <v>7463.0075130522728</v>
      </c>
      <c r="D138" s="57">
        <v>7008.6027249635736</v>
      </c>
    </row>
    <row r="139" spans="1:4" x14ac:dyDescent="0.2">
      <c r="A139">
        <v>102</v>
      </c>
      <c r="B139" s="58">
        <v>0.83283134023098526</v>
      </c>
      <c r="C139" s="57">
        <v>6784.4574772908436</v>
      </c>
      <c r="D139" s="57">
        <v>8146.2562100619061</v>
      </c>
    </row>
    <row r="140" spans="1:4" x14ac:dyDescent="0.2">
      <c r="A140">
        <v>103</v>
      </c>
      <c r="B140" s="58">
        <v>0.85202666403850102</v>
      </c>
      <c r="C140" s="57">
        <v>6532.7198501726689</v>
      </c>
      <c r="D140" s="57">
        <v>7667.2716076846527</v>
      </c>
    </row>
    <row r="141" spans="1:4" x14ac:dyDescent="0.2">
      <c r="A141">
        <v>104</v>
      </c>
      <c r="B141" s="58">
        <v>0.8384783771889186</v>
      </c>
      <c r="C141" s="57">
        <v>7061.066616078032</v>
      </c>
      <c r="D141" s="57">
        <v>8421.286473422193</v>
      </c>
    </row>
    <row r="142" spans="1:4" x14ac:dyDescent="0.2">
      <c r="A142">
        <v>105</v>
      </c>
      <c r="B142" s="58">
        <v>0.88885193712577326</v>
      </c>
      <c r="C142" s="57">
        <v>6901.8692092672463</v>
      </c>
      <c r="D142" s="57">
        <v>7764.9256540807046</v>
      </c>
    </row>
    <row r="143" spans="1:4" x14ac:dyDescent="0.2">
      <c r="A143">
        <v>106</v>
      </c>
      <c r="B143" s="58">
        <v>0.85247672470060731</v>
      </c>
      <c r="C143" s="57">
        <v>6209.7365152126113</v>
      </c>
      <c r="D143" s="57">
        <v>7284.3472851337865</v>
      </c>
    </row>
    <row r="144" spans="1:4" x14ac:dyDescent="0.2">
      <c r="A144">
        <v>107</v>
      </c>
      <c r="B144" s="58">
        <v>0.77292718154119644</v>
      </c>
      <c r="C144" s="57">
        <v>5626.7531438741171</v>
      </c>
      <c r="D144" s="57">
        <v>7279.7972153787105</v>
      </c>
    </row>
    <row r="145" spans="1:4" x14ac:dyDescent="0.2">
      <c r="A145">
        <v>108</v>
      </c>
      <c r="B145" s="58">
        <v>0.88686068180190691</v>
      </c>
      <c r="C145" s="57">
        <v>6147.9631077353552</v>
      </c>
      <c r="D145" s="57">
        <v>6932.2760991546484</v>
      </c>
    </row>
    <row r="146" spans="1:4" x14ac:dyDescent="0.2">
      <c r="A146">
        <v>109</v>
      </c>
      <c r="B146" s="58">
        <v>0.75623802985049249</v>
      </c>
      <c r="C146" s="57">
        <v>7508.6869974847959</v>
      </c>
      <c r="D146" s="57">
        <v>9928.9994698749233</v>
      </c>
    </row>
    <row r="147" spans="1:4" x14ac:dyDescent="0.2">
      <c r="A147">
        <v>110</v>
      </c>
      <c r="B147" s="58">
        <v>0.90753830082160647</v>
      </c>
      <c r="C147" s="57">
        <v>7322.9752260580954</v>
      </c>
      <c r="D147" s="57">
        <v>8069.0536360046826</v>
      </c>
    </row>
    <row r="148" spans="1:4" x14ac:dyDescent="0.2">
      <c r="A148">
        <v>111</v>
      </c>
      <c r="B148" s="58">
        <v>0.94314886408239396</v>
      </c>
      <c r="C148" s="57">
        <v>5818.9153295669093</v>
      </c>
      <c r="D148" s="57">
        <v>6169.6679614073801</v>
      </c>
    </row>
    <row r="149" spans="1:4" x14ac:dyDescent="0.2">
      <c r="A149">
        <v>112</v>
      </c>
      <c r="B149" s="58">
        <v>0.78952341762875466</v>
      </c>
      <c r="C149" s="57">
        <v>5328.4046052796093</v>
      </c>
      <c r="D149" s="57">
        <v>6748.8873493871488</v>
      </c>
    </row>
    <row r="150" spans="1:4" x14ac:dyDescent="0.2">
      <c r="A150">
        <v>113</v>
      </c>
      <c r="B150" s="58">
        <v>0.87411602621472095</v>
      </c>
      <c r="C150" s="57">
        <v>7177.3326559673606</v>
      </c>
      <c r="D150" s="57">
        <v>8210.9610631990581</v>
      </c>
    </row>
    <row r="151" spans="1:4" x14ac:dyDescent="0.2">
      <c r="A151">
        <v>114</v>
      </c>
      <c r="B151" s="58">
        <v>0.98829474777524062</v>
      </c>
      <c r="C151" s="57">
        <v>9448.5253192455111</v>
      </c>
      <c r="D151" s="57">
        <v>9560.4325941377028</v>
      </c>
    </row>
    <row r="152" spans="1:4" x14ac:dyDescent="0.2">
      <c r="A152">
        <v>115</v>
      </c>
      <c r="B152" s="58">
        <v>0.85677787400096417</v>
      </c>
      <c r="C152" s="57">
        <v>6619.3573583497728</v>
      </c>
      <c r="D152" s="57">
        <v>7725.8733671994005</v>
      </c>
    </row>
    <row r="153" spans="1:4" x14ac:dyDescent="0.2">
      <c r="A153">
        <v>116</v>
      </c>
      <c r="B153" s="58">
        <v>0.8063471441638983</v>
      </c>
      <c r="C153" s="57">
        <v>8266.0948705097107</v>
      </c>
      <c r="D153" s="57">
        <v>10251.285603647581</v>
      </c>
    </row>
    <row r="154" spans="1:4" x14ac:dyDescent="0.2">
      <c r="A154">
        <v>117</v>
      </c>
      <c r="B154" s="58">
        <v>0.83821333751556537</v>
      </c>
      <c r="C154" s="57">
        <v>6764.6845009323406</v>
      </c>
      <c r="D154" s="57">
        <v>8070.3613246988243</v>
      </c>
    </row>
    <row r="155" spans="1:4" x14ac:dyDescent="0.2">
      <c r="A155">
        <v>118</v>
      </c>
      <c r="B155" s="58">
        <v>1.2788696705877847</v>
      </c>
      <c r="C155" s="57">
        <v>6637.9296406302037</v>
      </c>
      <c r="D155" s="57">
        <v>5190.4660758584787</v>
      </c>
    </row>
    <row r="156" spans="1:4" x14ac:dyDescent="0.2">
      <c r="A156">
        <v>119</v>
      </c>
      <c r="B156" s="58">
        <v>0.84837685837230215</v>
      </c>
      <c r="C156" s="57">
        <v>7091.101049403962</v>
      </c>
      <c r="D156" s="57">
        <v>8358.4329056416809</v>
      </c>
    </row>
    <row r="157" spans="1:4" x14ac:dyDescent="0.2">
      <c r="A157">
        <v>120</v>
      </c>
      <c r="B157" s="58">
        <v>0.53390147649726316</v>
      </c>
      <c r="C157" s="57">
        <v>6749.3092983133629</v>
      </c>
      <c r="D157" s="57">
        <v>12641.488355853911</v>
      </c>
    </row>
    <row r="158" spans="1:4" x14ac:dyDescent="0.2">
      <c r="A158">
        <v>121</v>
      </c>
      <c r="B158" s="59">
        <v>0.88775318927754743</v>
      </c>
      <c r="C158" s="60">
        <v>6896.336208056262</v>
      </c>
      <c r="D158" s="60">
        <v>7768.3035007381868</v>
      </c>
    </row>
    <row r="159" spans="1:4" x14ac:dyDescent="0.2">
      <c r="A159">
        <v>122</v>
      </c>
      <c r="B159" s="58">
        <v>0.8669304687260313</v>
      </c>
      <c r="C159" s="57">
        <v>6408.0039822569834</v>
      </c>
      <c r="D159" s="57">
        <v>7391.6008416149589</v>
      </c>
    </row>
    <row r="160" spans="1:4" x14ac:dyDescent="0.2">
      <c r="A160">
        <v>123</v>
      </c>
      <c r="B160" s="58">
        <v>0.80577883195878641</v>
      </c>
      <c r="C160" s="57">
        <v>7944.0804205219974</v>
      </c>
      <c r="D160" s="57">
        <v>9858.8844797654328</v>
      </c>
    </row>
    <row r="161" spans="1:4" x14ac:dyDescent="0.2">
      <c r="A161">
        <v>124</v>
      </c>
      <c r="B161" s="59">
        <v>0.66688220051708669</v>
      </c>
      <c r="C161" s="60">
        <v>6571.1109607026938</v>
      </c>
      <c r="D161" s="60">
        <v>9853.4808030677541</v>
      </c>
    </row>
    <row r="162" spans="1:4" x14ac:dyDescent="0.2">
      <c r="A162">
        <v>125</v>
      </c>
      <c r="B162" s="58">
        <v>0.8512271068825461</v>
      </c>
      <c r="C162" s="57">
        <v>8792.5256819003898</v>
      </c>
      <c r="D162" s="57">
        <v>10329.236006241985</v>
      </c>
    </row>
    <row r="163" spans="1:4" x14ac:dyDescent="0.2">
      <c r="A163">
        <v>126</v>
      </c>
      <c r="B163" s="58">
        <v>0.76455109753804251</v>
      </c>
      <c r="C163" s="57">
        <v>6962.6086866331279</v>
      </c>
      <c r="D163" s="57">
        <v>9106.7931352837841</v>
      </c>
    </row>
    <row r="164" spans="1:4" x14ac:dyDescent="0.2">
      <c r="A164">
        <v>127</v>
      </c>
      <c r="B164" s="58">
        <v>0.84667574983744309</v>
      </c>
      <c r="C164" s="57">
        <v>5482.8920324136307</v>
      </c>
      <c r="D164" s="57">
        <v>6475.7872579512459</v>
      </c>
    </row>
    <row r="165" spans="1:4" x14ac:dyDescent="0.2">
      <c r="A165">
        <v>128</v>
      </c>
      <c r="B165" s="58">
        <v>1.3525726209330102</v>
      </c>
      <c r="C165" s="57">
        <v>6570.4358787506017</v>
      </c>
      <c r="D165" s="57">
        <v>4857.7324256484562</v>
      </c>
    </row>
    <row r="166" spans="1:4" x14ac:dyDescent="0.2">
      <c r="A166">
        <v>129</v>
      </c>
      <c r="B166" s="58">
        <v>0.67816363511057531</v>
      </c>
      <c r="C166" s="57">
        <v>8014.626297135299</v>
      </c>
      <c r="D166" s="57">
        <v>11818.130436658559</v>
      </c>
    </row>
    <row r="167" spans="1:4" x14ac:dyDescent="0.2">
      <c r="A167">
        <v>130</v>
      </c>
      <c r="B167" s="58">
        <v>0.88133920690267153</v>
      </c>
      <c r="C167" s="57">
        <v>8506.2313336578391</v>
      </c>
      <c r="D167" s="57">
        <v>9651.484090389733</v>
      </c>
    </row>
    <row r="168" spans="1:4" x14ac:dyDescent="0.2">
      <c r="A168">
        <v>131</v>
      </c>
      <c r="B168" s="58">
        <v>0.79774778261866874</v>
      </c>
      <c r="C168" s="57">
        <v>7437.0310008727465</v>
      </c>
      <c r="D168" s="57">
        <v>9322.5342180959979</v>
      </c>
    </row>
    <row r="169" spans="1:4" x14ac:dyDescent="0.2">
      <c r="A169">
        <v>132</v>
      </c>
      <c r="B169" s="58">
        <v>0.97193804056365707</v>
      </c>
      <c r="C169" s="57">
        <v>8121.2182041009546</v>
      </c>
      <c r="D169" s="57">
        <v>8355.6953891744051</v>
      </c>
    </row>
    <row r="170" spans="1:4" x14ac:dyDescent="0.2">
      <c r="A170">
        <v>133</v>
      </c>
      <c r="B170" s="58">
        <v>0.75674653893877597</v>
      </c>
      <c r="C170" s="57">
        <v>7283.6879734316262</v>
      </c>
      <c r="D170" s="57">
        <v>9625.003351380914</v>
      </c>
    </row>
    <row r="171" spans="1:4" x14ac:dyDescent="0.2">
      <c r="A171">
        <v>134</v>
      </c>
      <c r="B171" s="58">
        <v>0.95689439289230194</v>
      </c>
      <c r="C171" s="57">
        <v>7461.1390026600366</v>
      </c>
      <c r="D171" s="57">
        <v>7797.2439363011135</v>
      </c>
    </row>
    <row r="172" spans="1:4" x14ac:dyDescent="0.2">
      <c r="A172">
        <v>135</v>
      </c>
      <c r="B172" s="58">
        <v>0.67394348477467325</v>
      </c>
      <c r="C172" s="57">
        <v>7373.2818640222504</v>
      </c>
      <c r="D172" s="57">
        <v>10940.504701944614</v>
      </c>
    </row>
    <row r="173" spans="1:4" x14ac:dyDescent="0.2">
      <c r="A173">
        <v>136</v>
      </c>
      <c r="B173" s="58">
        <v>0.85915499452178246</v>
      </c>
      <c r="C173" s="57">
        <v>5290.3195684007878</v>
      </c>
      <c r="D173" s="57">
        <v>6157.5846059597816</v>
      </c>
    </row>
    <row r="174" spans="1:4" x14ac:dyDescent="0.2">
      <c r="A174">
        <v>137</v>
      </c>
      <c r="B174" s="58">
        <v>0.75917466321732885</v>
      </c>
      <c r="C174" s="57">
        <v>6494.8347920441101</v>
      </c>
      <c r="D174" s="57">
        <v>8555.1258580198883</v>
      </c>
    </row>
    <row r="175" spans="1:4" x14ac:dyDescent="0.2">
      <c r="A175">
        <v>138</v>
      </c>
      <c r="B175" s="58">
        <v>0.67936416963630464</v>
      </c>
      <c r="C175" s="57">
        <v>6438.2104394885137</v>
      </c>
      <c r="D175" s="57">
        <v>9476.8177764440952</v>
      </c>
    </row>
    <row r="176" spans="1:4" x14ac:dyDescent="0.2">
      <c r="A176">
        <v>139</v>
      </c>
      <c r="B176" s="58">
        <v>0.88396324254737468</v>
      </c>
      <c r="C176" s="57">
        <v>7301.4468008565773</v>
      </c>
      <c r="D176" s="57">
        <v>8259.8986580205765</v>
      </c>
    </row>
    <row r="177" spans="1:4" x14ac:dyDescent="0.2">
      <c r="A177">
        <v>140</v>
      </c>
      <c r="B177" s="58">
        <v>0.91376968782999946</v>
      </c>
      <c r="C177" s="57">
        <v>7077.7810905392798</v>
      </c>
      <c r="D177" s="57">
        <v>7745.6947683911922</v>
      </c>
    </row>
    <row r="178" spans="1:4" x14ac:dyDescent="0.2">
      <c r="A178">
        <v>141</v>
      </c>
      <c r="B178" s="58">
        <v>0.8449265570647384</v>
      </c>
      <c r="C178" s="57">
        <v>8241.3939846164703</v>
      </c>
      <c r="D178" s="57">
        <v>9753.9767399984958</v>
      </c>
    </row>
    <row r="179" spans="1:4" x14ac:dyDescent="0.2">
      <c r="A179">
        <v>142</v>
      </c>
      <c r="B179" s="58">
        <v>1.035761530117794</v>
      </c>
      <c r="C179" s="57">
        <v>7661.7834947795191</v>
      </c>
      <c r="D179" s="57">
        <v>7397.2466364030406</v>
      </c>
    </row>
    <row r="180" spans="1:4" x14ac:dyDescent="0.2">
      <c r="A180">
        <v>143</v>
      </c>
      <c r="B180" s="58">
        <v>1.1200826256747076</v>
      </c>
      <c r="C180" s="57">
        <v>8236.1764725423054</v>
      </c>
      <c r="D180" s="57">
        <v>7353.1865272716414</v>
      </c>
    </row>
    <row r="181" spans="1:4" x14ac:dyDescent="0.2">
      <c r="A181">
        <v>144</v>
      </c>
      <c r="B181" s="58">
        <v>0.82095610006590292</v>
      </c>
      <c r="C181" s="57">
        <v>7246.5647867083862</v>
      </c>
      <c r="D181" s="57">
        <v>8826.9820836055205</v>
      </c>
    </row>
    <row r="182" spans="1:4" x14ac:dyDescent="0.2">
      <c r="A182">
        <v>145</v>
      </c>
      <c r="B182" s="58">
        <v>0.56122005728714353</v>
      </c>
      <c r="C182" s="57">
        <v>7445.1709167406316</v>
      </c>
      <c r="D182" s="57">
        <v>13266.045680422594</v>
      </c>
    </row>
    <row r="183" spans="1:4" x14ac:dyDescent="0.2">
      <c r="A183">
        <v>146</v>
      </c>
      <c r="B183" s="58">
        <v>0.84363466736124071</v>
      </c>
      <c r="C183" s="57">
        <v>6222.0196666055399</v>
      </c>
      <c r="D183" s="57">
        <v>7375.253658158761</v>
      </c>
    </row>
    <row r="184" spans="1:4" x14ac:dyDescent="0.2">
      <c r="A184">
        <v>147</v>
      </c>
      <c r="B184" s="58">
        <v>0.92132128196931351</v>
      </c>
      <c r="C184" s="57">
        <v>7917.7553509828231</v>
      </c>
      <c r="D184" s="57">
        <v>8593.9134435912656</v>
      </c>
    </row>
    <row r="185" spans="1:4" x14ac:dyDescent="0.2">
      <c r="A185">
        <v>148</v>
      </c>
      <c r="B185" s="58">
        <v>0.60669045955880385</v>
      </c>
      <c r="C185" s="57">
        <v>10033.832926781268</v>
      </c>
      <c r="D185" s="57">
        <v>16538.6364144873</v>
      </c>
    </row>
    <row r="186" spans="1:4" x14ac:dyDescent="0.2">
      <c r="A186">
        <v>149</v>
      </c>
      <c r="B186" s="58">
        <v>0.87035907505945787</v>
      </c>
      <c r="C186" s="57">
        <v>8201.495601889641</v>
      </c>
      <c r="D186" s="57">
        <v>9423.117236215825</v>
      </c>
    </row>
    <row r="187" spans="1:4" x14ac:dyDescent="0.2">
      <c r="A187">
        <v>150</v>
      </c>
      <c r="B187" s="58">
        <v>0.92152493901078802</v>
      </c>
      <c r="C187" s="57">
        <v>7000.7331803601774</v>
      </c>
      <c r="D187" s="57">
        <v>7596.9004027987803</v>
      </c>
    </row>
    <row r="188" spans="1:4" x14ac:dyDescent="0.2">
      <c r="A188">
        <v>151</v>
      </c>
      <c r="B188" s="58">
        <v>0.92546568460344059</v>
      </c>
      <c r="C188" s="57">
        <v>6021.1262320623491</v>
      </c>
      <c r="D188" s="57">
        <v>6506.0502320433252</v>
      </c>
    </row>
    <row r="189" spans="1:4" x14ac:dyDescent="0.2">
      <c r="A189">
        <v>152</v>
      </c>
      <c r="B189" s="58">
        <v>0.76682488171383678</v>
      </c>
      <c r="C189" s="57">
        <v>7141.3087584024415</v>
      </c>
      <c r="D189" s="57">
        <v>9312.8286897026264</v>
      </c>
    </row>
    <row r="190" spans="1:4" x14ac:dyDescent="0.2">
      <c r="A190">
        <v>153</v>
      </c>
      <c r="B190" s="58">
        <v>0.99393576210608181</v>
      </c>
      <c r="C190" s="57">
        <v>7267.1996062276739</v>
      </c>
      <c r="D190" s="57">
        <v>7311.5385151541141</v>
      </c>
    </row>
    <row r="191" spans="1:4" x14ac:dyDescent="0.2">
      <c r="A191">
        <v>154</v>
      </c>
      <c r="B191" s="58">
        <v>0.81267246293111839</v>
      </c>
      <c r="C191" s="57">
        <v>6445.649836121378</v>
      </c>
      <c r="D191" s="57">
        <v>7931.4239501526054</v>
      </c>
    </row>
    <row r="192" spans="1:4" x14ac:dyDescent="0.2">
      <c r="A192">
        <v>155</v>
      </c>
      <c r="B192" s="58">
        <v>1.0161930102902286</v>
      </c>
      <c r="C192" s="57">
        <v>5321.4357059604881</v>
      </c>
      <c r="D192" s="57">
        <v>5236.6387606235021</v>
      </c>
    </row>
    <row r="193" spans="1:4" x14ac:dyDescent="0.2">
      <c r="A193">
        <v>156</v>
      </c>
      <c r="B193" s="58">
        <v>0.9222390992117715</v>
      </c>
      <c r="C193" s="57">
        <v>6577.5693523111077</v>
      </c>
      <c r="D193" s="57">
        <v>7132.1735956899793</v>
      </c>
    </row>
    <row r="194" spans="1:4" x14ac:dyDescent="0.2">
      <c r="A194">
        <v>157</v>
      </c>
      <c r="B194" s="58">
        <v>0.84687354653503455</v>
      </c>
      <c r="C194" s="57">
        <v>8245.3239017538199</v>
      </c>
      <c r="D194" s="57">
        <v>9736.1925348706318</v>
      </c>
    </row>
    <row r="195" spans="1:4" x14ac:dyDescent="0.2">
      <c r="A195">
        <v>158</v>
      </c>
      <c r="B195" s="58">
        <v>0.65729860883865143</v>
      </c>
      <c r="C195" s="57">
        <v>6696.2196092893373</v>
      </c>
      <c r="D195" s="57">
        <v>10187.484834511606</v>
      </c>
    </row>
    <row r="196" spans="1:4" x14ac:dyDescent="0.2">
      <c r="A196">
        <v>159</v>
      </c>
      <c r="B196" s="58">
        <v>1.0596060036512487</v>
      </c>
      <c r="C196" s="57">
        <v>6226.3083399842508</v>
      </c>
      <c r="D196" s="57">
        <v>5876.0598925726117</v>
      </c>
    </row>
    <row r="197" spans="1:4" x14ac:dyDescent="0.2">
      <c r="A197">
        <v>160</v>
      </c>
      <c r="B197" s="58">
        <v>1.0881816617669777</v>
      </c>
      <c r="C197" s="57">
        <v>6700.1059601317429</v>
      </c>
      <c r="D197" s="57">
        <v>6157.1575735361894</v>
      </c>
    </row>
    <row r="198" spans="1:4" x14ac:dyDescent="0.2">
      <c r="A198">
        <v>161</v>
      </c>
      <c r="B198" s="58">
        <v>0.78996289163699984</v>
      </c>
      <c r="C198" s="57">
        <v>7433.6632856627712</v>
      </c>
      <c r="D198" s="57">
        <v>9410.1423805596351</v>
      </c>
    </row>
    <row r="199" spans="1:4" x14ac:dyDescent="0.2">
      <c r="A199">
        <v>162</v>
      </c>
      <c r="B199" s="58">
        <v>0.92835859813058264</v>
      </c>
      <c r="C199" s="57">
        <v>6967.906067660123</v>
      </c>
      <c r="D199" s="57">
        <v>7505.6191451140303</v>
      </c>
    </row>
    <row r="200" spans="1:4" x14ac:dyDescent="0.2">
      <c r="A200">
        <v>163</v>
      </c>
      <c r="B200" s="58">
        <v>1.0794350207238885</v>
      </c>
      <c r="C200" s="57">
        <v>7765.9309110916129</v>
      </c>
      <c r="D200" s="57">
        <v>7194.4403896435006</v>
      </c>
    </row>
    <row r="201" spans="1:4" x14ac:dyDescent="0.2">
      <c r="A201">
        <v>164</v>
      </c>
      <c r="B201" s="58">
        <v>0.80662957557690973</v>
      </c>
      <c r="C201" s="57">
        <v>8936.1342590319946</v>
      </c>
      <c r="D201" s="57">
        <v>11078.361777945942</v>
      </c>
    </row>
    <row r="202" spans="1:4" x14ac:dyDescent="0.2">
      <c r="A202">
        <v>165</v>
      </c>
      <c r="B202" s="58">
        <v>1.3172457836799403</v>
      </c>
      <c r="C202" s="57">
        <v>6518.4157483844865</v>
      </c>
      <c r="D202" s="57">
        <v>4948.5189697660162</v>
      </c>
    </row>
    <row r="203" spans="1:4" x14ac:dyDescent="0.2">
      <c r="A203">
        <v>166</v>
      </c>
      <c r="B203" s="58">
        <v>0.833923566212186</v>
      </c>
      <c r="C203" s="57">
        <v>7219.8068988937848</v>
      </c>
      <c r="D203" s="57">
        <v>8657.6362527890906</v>
      </c>
    </row>
    <row r="204" spans="1:4" x14ac:dyDescent="0.2">
      <c r="A204">
        <v>167</v>
      </c>
      <c r="B204" s="58">
        <v>0.84195316201502202</v>
      </c>
      <c r="C204" s="57">
        <v>8901.8659365448602</v>
      </c>
      <c r="D204" s="57">
        <v>10572.875473548058</v>
      </c>
    </row>
    <row r="205" spans="1:4" x14ac:dyDescent="0.2">
      <c r="A205">
        <v>168</v>
      </c>
      <c r="B205" s="58">
        <v>0.72504178037810441</v>
      </c>
      <c r="C205" s="57">
        <v>9046.1475964036581</v>
      </c>
      <c r="D205" s="57">
        <v>12476.725950449578</v>
      </c>
    </row>
    <row r="206" spans="1:4" x14ac:dyDescent="0.2">
      <c r="A206">
        <v>169</v>
      </c>
      <c r="B206" s="58">
        <v>0.80065276948302522</v>
      </c>
      <c r="C206" s="57">
        <v>7242.4230238787441</v>
      </c>
      <c r="D206" s="57">
        <v>9045.6478762386796</v>
      </c>
    </row>
    <row r="207" spans="1:4" x14ac:dyDescent="0.2">
      <c r="A207">
        <v>170</v>
      </c>
      <c r="B207" s="58">
        <v>0.98288398432475521</v>
      </c>
      <c r="C207" s="57">
        <v>6791.3841864459064</v>
      </c>
      <c r="D207" s="57">
        <v>6909.64986179077</v>
      </c>
    </row>
    <row r="208" spans="1:4" x14ac:dyDescent="0.2">
      <c r="A208">
        <v>171</v>
      </c>
      <c r="B208" s="58">
        <v>0.7024371154344049</v>
      </c>
      <c r="C208" s="57">
        <v>6941.6810906861683</v>
      </c>
      <c r="D208" s="57">
        <v>9882.2811866842439</v>
      </c>
    </row>
    <row r="209" spans="1:4" x14ac:dyDescent="0.2">
      <c r="A209">
        <v>172</v>
      </c>
      <c r="B209" s="58">
        <v>0.90164892097885918</v>
      </c>
      <c r="C209" s="57">
        <v>6342.1426030134371</v>
      </c>
      <c r="D209" s="57">
        <v>7033.9379945447081</v>
      </c>
    </row>
    <row r="210" spans="1:4" x14ac:dyDescent="0.2">
      <c r="A210">
        <v>173</v>
      </c>
      <c r="B210" s="58">
        <v>0.83830095352858081</v>
      </c>
      <c r="C210" s="57">
        <v>7158.7815716338209</v>
      </c>
      <c r="D210" s="57">
        <v>8539.6319084465304</v>
      </c>
    </row>
    <row r="211" spans="1:4" x14ac:dyDescent="0.2">
      <c r="A211">
        <v>174</v>
      </c>
      <c r="B211" s="58">
        <v>0.7913741565442729</v>
      </c>
      <c r="C211" s="57">
        <v>7680.4190960557789</v>
      </c>
      <c r="D211" s="57">
        <v>9705.1679443187659</v>
      </c>
    </row>
    <row r="212" spans="1:4" x14ac:dyDescent="0.2">
      <c r="A212">
        <v>175</v>
      </c>
      <c r="B212" s="58">
        <v>0.75811555932760832</v>
      </c>
      <c r="C212" s="57">
        <v>6557.5306697554461</v>
      </c>
      <c r="D212" s="57">
        <v>8649.7771864377573</v>
      </c>
    </row>
    <row r="213" spans="1:4" x14ac:dyDescent="0.2">
      <c r="A213">
        <v>176</v>
      </c>
      <c r="B213" s="58">
        <v>0.85563878469944932</v>
      </c>
      <c r="C213" s="57">
        <v>6948.8617610578276</v>
      </c>
      <c r="D213" s="57">
        <v>8121.256171783607</v>
      </c>
    </row>
    <row r="214" spans="1:4" x14ac:dyDescent="0.2">
      <c r="A214">
        <v>177</v>
      </c>
      <c r="B214" s="58">
        <v>0.98151879190306968</v>
      </c>
      <c r="C214" s="57">
        <v>6599.9052959631881</v>
      </c>
      <c r="D214" s="57">
        <v>6724.1761955128868</v>
      </c>
    </row>
    <row r="215" spans="1:4" x14ac:dyDescent="0.2">
      <c r="A215">
        <v>178</v>
      </c>
      <c r="B215" s="59">
        <v>0.80611276233949525</v>
      </c>
      <c r="C215" s="60">
        <v>6460.0326731810401</v>
      </c>
      <c r="D215" s="60">
        <v>8013.8077139887664</v>
      </c>
    </row>
    <row r="216" spans="1:4" x14ac:dyDescent="0.2">
      <c r="A216">
        <v>179</v>
      </c>
      <c r="B216" s="58">
        <v>0.98207861907776106</v>
      </c>
      <c r="C216" s="57">
        <v>8256.3249180327875</v>
      </c>
      <c r="D216" s="57">
        <v>8406.9897843678154</v>
      </c>
    </row>
    <row r="217" spans="1:4" x14ac:dyDescent="0.2">
      <c r="A217">
        <v>180</v>
      </c>
      <c r="B217" s="58">
        <v>1.0578460637384106</v>
      </c>
      <c r="C217" s="57">
        <v>7763.8842910285548</v>
      </c>
      <c r="D217" s="57">
        <v>7339.3327792808677</v>
      </c>
    </row>
    <row r="218" spans="1:4" x14ac:dyDescent="0.2">
      <c r="A218">
        <v>181</v>
      </c>
      <c r="B218" s="59">
        <v>0.92153432449055384</v>
      </c>
      <c r="C218" s="60">
        <v>5982.9711835831113</v>
      </c>
      <c r="D218" s="60">
        <v>6492.401883012486</v>
      </c>
    </row>
    <row r="219" spans="1:4" x14ac:dyDescent="0.2">
      <c r="A219">
        <v>182</v>
      </c>
      <c r="B219" s="58">
        <v>0.86405507177286811</v>
      </c>
      <c r="C219" s="57">
        <v>8716.790799520666</v>
      </c>
      <c r="D219" s="57">
        <v>10088.235211252861</v>
      </c>
    </row>
    <row r="220" spans="1:4" x14ac:dyDescent="0.2">
      <c r="A220">
        <v>183</v>
      </c>
      <c r="B220" s="58">
        <v>1.113596455114263</v>
      </c>
      <c r="C220" s="57">
        <v>8257.9011548658364</v>
      </c>
      <c r="D220" s="57">
        <v>7415.5239242554135</v>
      </c>
    </row>
    <row r="221" spans="1:4" x14ac:dyDescent="0.2">
      <c r="A221">
        <v>184</v>
      </c>
      <c r="B221" s="58">
        <v>0.99006963555406902</v>
      </c>
      <c r="C221" s="57">
        <v>7081.6484546149159</v>
      </c>
      <c r="D221" s="57">
        <v>7152.6771454331483</v>
      </c>
    </row>
    <row r="222" spans="1:4" x14ac:dyDescent="0.2">
      <c r="A222">
        <v>185</v>
      </c>
      <c r="B222" s="58">
        <v>0.85319979583800354</v>
      </c>
      <c r="C222" s="57">
        <v>8549.2448534803461</v>
      </c>
      <c r="D222" s="57">
        <v>10020.214368527095</v>
      </c>
    </row>
    <row r="223" spans="1:4" x14ac:dyDescent="0.2">
      <c r="A223">
        <v>186</v>
      </c>
      <c r="B223" s="58">
        <v>0.853926597243583</v>
      </c>
      <c r="C223" s="57">
        <v>6464.9823561352932</v>
      </c>
      <c r="D223" s="57">
        <v>7570.8876816857755</v>
      </c>
    </row>
    <row r="224" spans="1:4" x14ac:dyDescent="0.2">
      <c r="A224">
        <v>187</v>
      </c>
      <c r="B224" s="58">
        <v>1.1388027953454651</v>
      </c>
      <c r="C224" s="57">
        <v>5156.4797549813156</v>
      </c>
      <c r="D224" s="57">
        <v>4527.9830503200119</v>
      </c>
    </row>
    <row r="225" spans="1:4" x14ac:dyDescent="0.2">
      <c r="A225">
        <v>188</v>
      </c>
      <c r="B225" s="58">
        <v>0.72662302829747016</v>
      </c>
      <c r="C225" s="57">
        <v>6845.0054154513837</v>
      </c>
      <c r="D225" s="57">
        <v>9420.2979383817801</v>
      </c>
    </row>
    <row r="226" spans="1:4" x14ac:dyDescent="0.2">
      <c r="A226">
        <v>189</v>
      </c>
      <c r="B226" s="58">
        <v>0.83423274165099492</v>
      </c>
      <c r="C226" s="57">
        <v>5419.2465417045114</v>
      </c>
      <c r="D226" s="57">
        <v>6496.0846909215152</v>
      </c>
    </row>
    <row r="227" spans="1:4" x14ac:dyDescent="0.2">
      <c r="A227">
        <v>190</v>
      </c>
      <c r="B227" s="58">
        <v>0.63981615627261412</v>
      </c>
      <c r="C227" s="57">
        <v>6756.0843363152871</v>
      </c>
      <c r="D227" s="57">
        <v>10559.415028958165</v>
      </c>
    </row>
    <row r="228" spans="1:4" x14ac:dyDescent="0.2">
      <c r="A228">
        <v>191</v>
      </c>
      <c r="B228" s="58">
        <v>0.80349497938754855</v>
      </c>
      <c r="C228" s="57">
        <v>6697.7594019511653</v>
      </c>
      <c r="D228" s="57">
        <v>8335.7825173424571</v>
      </c>
    </row>
    <row r="229" spans="1:4" x14ac:dyDescent="0.2">
      <c r="A229">
        <v>192</v>
      </c>
      <c r="B229" s="58">
        <v>0.9284566957064202</v>
      </c>
      <c r="C229" s="57">
        <v>7510.2209881580256</v>
      </c>
      <c r="D229" s="57">
        <v>8088.9297507234223</v>
      </c>
    </row>
    <row r="230" spans="1:4" x14ac:dyDescent="0.2">
      <c r="A230">
        <v>193</v>
      </c>
      <c r="B230" s="59">
        <v>0.73405157489328055</v>
      </c>
      <c r="C230" s="60">
        <v>4560.7537281197274</v>
      </c>
      <c r="D230" s="60">
        <v>6213.1243690646515</v>
      </c>
    </row>
    <row r="231" spans="1:4" x14ac:dyDescent="0.2">
      <c r="A231">
        <v>194</v>
      </c>
      <c r="B231" s="58">
        <v>0.82001021877610647</v>
      </c>
      <c r="C231" s="57">
        <v>6191.3842413822076</v>
      </c>
      <c r="D231" s="57">
        <v>7550.3744948728345</v>
      </c>
    </row>
    <row r="232" spans="1:4" x14ac:dyDescent="0.2">
      <c r="A232">
        <v>195</v>
      </c>
      <c r="B232" s="58">
        <v>0.94058304326106335</v>
      </c>
      <c r="C232" s="57">
        <v>5683.5804572663656</v>
      </c>
      <c r="D232" s="57">
        <v>6042.6142040164978</v>
      </c>
    </row>
    <row r="233" spans="1:4" x14ac:dyDescent="0.2">
      <c r="A233">
        <v>196</v>
      </c>
      <c r="B233" s="58">
        <v>0.81145285644687526</v>
      </c>
      <c r="C233" s="57">
        <v>7424.4902082277549</v>
      </c>
      <c r="D233" s="57">
        <v>9149.6260679117186</v>
      </c>
    </row>
    <row r="234" spans="1:4" x14ac:dyDescent="0.2">
      <c r="A234">
        <v>197</v>
      </c>
      <c r="B234" s="58">
        <v>0.67705485723681669</v>
      </c>
      <c r="C234" s="57">
        <v>8948.7530635304684</v>
      </c>
      <c r="D234" s="57">
        <v>13217.175784030187</v>
      </c>
    </row>
    <row r="235" spans="1:4" x14ac:dyDescent="0.2">
      <c r="A235">
        <v>198</v>
      </c>
      <c r="B235" s="58">
        <v>0.70404603525653187</v>
      </c>
      <c r="C235" s="57">
        <v>7453.816368585527</v>
      </c>
      <c r="D235" s="57">
        <v>10587.115039813547</v>
      </c>
    </row>
    <row r="236" spans="1:4" x14ac:dyDescent="0.2">
      <c r="A236">
        <v>199</v>
      </c>
      <c r="B236" s="58">
        <v>0.80949138090707695</v>
      </c>
      <c r="C236" s="57">
        <v>6178.0818201891198</v>
      </c>
      <c r="D236" s="57">
        <v>7632.0538623478114</v>
      </c>
    </row>
    <row r="237" spans="1:4" x14ac:dyDescent="0.2">
      <c r="A237">
        <v>200</v>
      </c>
      <c r="B237" s="58">
        <v>0.90806504940390109</v>
      </c>
      <c r="C237" s="57">
        <v>7229.1261825908023</v>
      </c>
      <c r="D237" s="57">
        <v>7961.0223819718194</v>
      </c>
    </row>
    <row r="238" spans="1:4" x14ac:dyDescent="0.2">
      <c r="A238">
        <v>201</v>
      </c>
      <c r="B238" s="58">
        <v>1.3380954372167295</v>
      </c>
      <c r="C238" s="57">
        <v>6739.2602324934287</v>
      </c>
      <c r="D238" s="57">
        <v>5036.4570755216464</v>
      </c>
    </row>
    <row r="239" spans="1:4" x14ac:dyDescent="0.2">
      <c r="A239">
        <v>202</v>
      </c>
      <c r="B239" s="58">
        <v>1.2447641532787221</v>
      </c>
      <c r="C239" s="57">
        <v>7305.5627747351573</v>
      </c>
      <c r="D239" s="57">
        <v>5869.0337085079345</v>
      </c>
    </row>
    <row r="240" spans="1:4" x14ac:dyDescent="0.2">
      <c r="A240">
        <v>203</v>
      </c>
      <c r="B240" s="58">
        <v>0.7741659010585602</v>
      </c>
      <c r="C240" s="57">
        <v>7117.754140718067</v>
      </c>
      <c r="D240" s="57">
        <v>9194.0940966084472</v>
      </c>
    </row>
    <row r="241" spans="1:4" x14ac:dyDescent="0.2">
      <c r="A241">
        <v>204</v>
      </c>
      <c r="B241" s="58">
        <v>1.2591714207643605</v>
      </c>
      <c r="C241" s="57">
        <v>5160.9268377824592</v>
      </c>
      <c r="D241" s="57">
        <v>4098.6689760236131</v>
      </c>
    </row>
    <row r="242" spans="1:4" x14ac:dyDescent="0.2">
      <c r="A242">
        <v>205</v>
      </c>
      <c r="B242" s="58">
        <v>0.95129932610435919</v>
      </c>
      <c r="C242" s="57">
        <v>7685.8707727967258</v>
      </c>
      <c r="D242" s="57">
        <v>8079.3400792902194</v>
      </c>
    </row>
    <row r="243" spans="1:4" x14ac:dyDescent="0.2">
      <c r="A243">
        <v>206</v>
      </c>
      <c r="B243" s="58">
        <v>0.87256678408608579</v>
      </c>
      <c r="C243" s="57">
        <v>6096.3069561638913</v>
      </c>
      <c r="D243" s="57">
        <v>6986.6365157929749</v>
      </c>
    </row>
    <row r="244" spans="1:4" x14ac:dyDescent="0.2">
      <c r="A244">
        <v>207</v>
      </c>
      <c r="B244" s="58">
        <v>0.80933393148272703</v>
      </c>
      <c r="C244" s="57">
        <v>5578.7909423614055</v>
      </c>
      <c r="D244" s="57">
        <v>6893.0644389774598</v>
      </c>
    </row>
    <row r="245" spans="1:4" x14ac:dyDescent="0.2">
      <c r="A245">
        <v>208</v>
      </c>
      <c r="B245" s="58">
        <v>0.74388382605267012</v>
      </c>
      <c r="C245" s="57">
        <v>7652.4457417023586</v>
      </c>
      <c r="D245" s="57">
        <v>10287.151667632215</v>
      </c>
    </row>
    <row r="246" spans="1:4" x14ac:dyDescent="0.2">
      <c r="A246">
        <v>209</v>
      </c>
      <c r="B246" s="58">
        <v>0.80939068616047649</v>
      </c>
      <c r="C246" s="57">
        <v>8041.9041874492195</v>
      </c>
      <c r="D246" s="57">
        <v>9935.7508369632578</v>
      </c>
    </row>
    <row r="247" spans="1:4" x14ac:dyDescent="0.2">
      <c r="A247">
        <v>210</v>
      </c>
      <c r="B247" s="58">
        <v>0.91981739437960286</v>
      </c>
      <c r="C247" s="57">
        <v>6302.3046641834035</v>
      </c>
      <c r="D247" s="57">
        <v>6851.6911103145349</v>
      </c>
    </row>
    <row r="248" spans="1:4" x14ac:dyDescent="0.2">
      <c r="A248">
        <v>211</v>
      </c>
      <c r="B248" s="58">
        <v>0.97256326800667914</v>
      </c>
      <c r="C248" s="57">
        <v>8521.4214868440176</v>
      </c>
      <c r="D248" s="57">
        <v>8761.8171147972007</v>
      </c>
    </row>
    <row r="249" spans="1:4" x14ac:dyDescent="0.2">
      <c r="A249">
        <v>212</v>
      </c>
      <c r="B249" s="58">
        <v>0.58844431886362614</v>
      </c>
      <c r="C249" s="57">
        <v>9637.4292788323928</v>
      </c>
      <c r="D249" s="57">
        <v>16377.810049120209</v>
      </c>
    </row>
    <row r="250" spans="1:4" x14ac:dyDescent="0.2">
      <c r="A250">
        <v>213</v>
      </c>
      <c r="B250" s="58">
        <v>0.71027667565613406</v>
      </c>
      <c r="C250" s="57">
        <v>5713.3547568574377</v>
      </c>
      <c r="D250" s="57">
        <v>8043.843973307441</v>
      </c>
    </row>
    <row r="251" spans="1:4" x14ac:dyDescent="0.2">
      <c r="A251">
        <v>214</v>
      </c>
      <c r="B251" s="58">
        <v>0.93263667589679677</v>
      </c>
      <c r="C251" s="57">
        <v>7515.0607545487328</v>
      </c>
      <c r="D251" s="57">
        <v>8057.8653496791394</v>
      </c>
    </row>
    <row r="252" spans="1:4" x14ac:dyDescent="0.2">
      <c r="A252">
        <v>215</v>
      </c>
      <c r="B252" s="58">
        <v>1.0742586186798331</v>
      </c>
      <c r="C252" s="57">
        <v>4812.9474299132162</v>
      </c>
      <c r="D252" s="57">
        <v>4480.2502360445515</v>
      </c>
    </row>
    <row r="253" spans="1:4" x14ac:dyDescent="0.2">
      <c r="A253">
        <v>216</v>
      </c>
      <c r="B253" s="58">
        <v>0.63001640489389032</v>
      </c>
      <c r="C253" s="57">
        <v>7824.6983784104923</v>
      </c>
      <c r="D253" s="57">
        <v>12419.832749796979</v>
      </c>
    </row>
    <row r="254" spans="1:4" x14ac:dyDescent="0.2">
      <c r="A254">
        <v>217</v>
      </c>
      <c r="B254" s="58">
        <v>0.6781650208948129</v>
      </c>
      <c r="C254" s="57">
        <v>7177.6178085759529</v>
      </c>
      <c r="D254" s="57">
        <v>10583.880895398232</v>
      </c>
    </row>
    <row r="255" spans="1:4" x14ac:dyDescent="0.2">
      <c r="A255">
        <v>218</v>
      </c>
      <c r="B255" s="58">
        <v>1.1107269038531777</v>
      </c>
      <c r="C255" s="57">
        <v>6971.3472389305107</v>
      </c>
      <c r="D255" s="57">
        <v>6276.3828036815285</v>
      </c>
    </row>
    <row r="256" spans="1:4" x14ac:dyDescent="0.2">
      <c r="A256">
        <v>219</v>
      </c>
      <c r="B256" s="58">
        <v>0.69220867414571252</v>
      </c>
      <c r="C256" s="57">
        <v>6768.5199920831383</v>
      </c>
      <c r="D256" s="57">
        <v>9778.1496315926543</v>
      </c>
    </row>
    <row r="257" spans="1:4" x14ac:dyDescent="0.2">
      <c r="A257">
        <v>220</v>
      </c>
      <c r="B257" s="58">
        <v>0.8245983980147269</v>
      </c>
      <c r="C257" s="57">
        <v>7757.6442902654035</v>
      </c>
      <c r="D257" s="57">
        <v>9407.7848185764433</v>
      </c>
    </row>
    <row r="258" spans="1:4" x14ac:dyDescent="0.2">
      <c r="A258">
        <v>221</v>
      </c>
      <c r="B258" s="58">
        <v>0.65478523336108552</v>
      </c>
      <c r="C258" s="57">
        <v>6765.1902328246797</v>
      </c>
      <c r="D258" s="57">
        <v>10331.922419963879</v>
      </c>
    </row>
    <row r="259" spans="1:4" x14ac:dyDescent="0.2">
      <c r="A259">
        <v>222</v>
      </c>
      <c r="B259" s="58">
        <v>0.86254264473965581</v>
      </c>
      <c r="C259" s="57">
        <v>6105.6936552445113</v>
      </c>
      <c r="D259" s="57">
        <v>7078.7151133697434</v>
      </c>
    </row>
    <row r="260" spans="1:4" x14ac:dyDescent="0.2">
      <c r="A260">
        <v>223</v>
      </c>
      <c r="B260" s="59">
        <v>0.71016679398215743</v>
      </c>
      <c r="C260" s="60">
        <v>7660.6238472848027</v>
      </c>
      <c r="D260" s="60">
        <v>10787.076940515572</v>
      </c>
    </row>
    <row r="261" spans="1:4" x14ac:dyDescent="0.2">
      <c r="A261">
        <v>224</v>
      </c>
      <c r="B261" s="58">
        <v>0.63825508406916853</v>
      </c>
      <c r="C261" s="57">
        <v>6635.6482510491878</v>
      </c>
      <c r="D261" s="57">
        <v>10396.545858661855</v>
      </c>
    </row>
    <row r="262" spans="1:4" x14ac:dyDescent="0.2">
      <c r="A262">
        <v>225</v>
      </c>
      <c r="B262" s="58">
        <v>0.90636234898960488</v>
      </c>
      <c r="C262" s="57">
        <v>6401.098101024535</v>
      </c>
      <c r="D262" s="57">
        <v>7062.4051276626333</v>
      </c>
    </row>
    <row r="263" spans="1:4" x14ac:dyDescent="0.2">
      <c r="A263">
        <v>226</v>
      </c>
      <c r="B263" s="58">
        <v>0.62902785308278908</v>
      </c>
      <c r="C263" s="57">
        <v>7475.9806813695386</v>
      </c>
      <c r="D263" s="57">
        <v>11884.975593259767</v>
      </c>
    </row>
    <row r="264" spans="1:4" x14ac:dyDescent="0.2">
      <c r="A264">
        <v>227</v>
      </c>
      <c r="B264" s="58">
        <v>1.013765918946067</v>
      </c>
      <c r="C264" s="57">
        <v>6910.5372346872518</v>
      </c>
      <c r="D264" s="57">
        <v>6816.6991072964811</v>
      </c>
    </row>
    <row r="265" spans="1:4" x14ac:dyDescent="0.2">
      <c r="A265">
        <v>228</v>
      </c>
      <c r="B265" s="58">
        <v>0.97511429612162903</v>
      </c>
      <c r="C265" s="57">
        <v>6331.6004424065013</v>
      </c>
      <c r="D265" s="57">
        <v>6493.1879961041423</v>
      </c>
    </row>
    <row r="266" spans="1:4" x14ac:dyDescent="0.2">
      <c r="A266">
        <v>229</v>
      </c>
      <c r="B266" s="58">
        <v>1.0369674411700531</v>
      </c>
      <c r="C266" s="57">
        <v>6572.3613569422778</v>
      </c>
      <c r="D266" s="57">
        <v>6338.0595147002987</v>
      </c>
    </row>
    <row r="267" spans="1:4" x14ac:dyDescent="0.2">
      <c r="A267">
        <v>230</v>
      </c>
      <c r="B267" s="58">
        <v>0.6144722053871936</v>
      </c>
      <c r="C267" s="57">
        <v>7733.3678412959835</v>
      </c>
      <c r="D267" s="57">
        <v>12585.38266417275</v>
      </c>
    </row>
    <row r="268" spans="1:4" x14ac:dyDescent="0.2">
      <c r="A268">
        <v>231</v>
      </c>
      <c r="B268" s="58">
        <v>1.011400061811969</v>
      </c>
      <c r="C268" s="57">
        <v>7227.6357889280534</v>
      </c>
      <c r="D268" s="57">
        <v>7146.1690203769786</v>
      </c>
    </row>
    <row r="269" spans="1:4" x14ac:dyDescent="0.2">
      <c r="A269">
        <v>232</v>
      </c>
      <c r="B269" s="58">
        <v>0.78110297474385781</v>
      </c>
      <c r="C269" s="57">
        <v>5864.309819971244</v>
      </c>
      <c r="D269" s="57">
        <v>7507.7294666484786</v>
      </c>
    </row>
    <row r="270" spans="1:4" x14ac:dyDescent="0.2">
      <c r="A270">
        <v>233</v>
      </c>
      <c r="B270" s="58">
        <v>0.70708483129835553</v>
      </c>
      <c r="C270" s="57">
        <v>7457.9950877467891</v>
      </c>
      <c r="D270" s="57">
        <v>10547.5252156836</v>
      </c>
    </row>
    <row r="271" spans="1:4" x14ac:dyDescent="0.2">
      <c r="A271">
        <v>234</v>
      </c>
      <c r="B271" s="58">
        <v>0.63800764034924207</v>
      </c>
      <c r="C271" s="57">
        <v>9305.3918404053966</v>
      </c>
      <c r="D271" s="57">
        <v>14585.079005185069</v>
      </c>
    </row>
    <row r="272" spans="1:4" x14ac:dyDescent="0.2">
      <c r="A272">
        <v>235</v>
      </c>
      <c r="B272" s="58">
        <v>0.89479510715854538</v>
      </c>
      <c r="C272" s="57">
        <v>6647.2099583615436</v>
      </c>
      <c r="D272" s="57">
        <v>7428.7509008291318</v>
      </c>
    </row>
    <row r="273" spans="1:4" x14ac:dyDescent="0.2">
      <c r="A273">
        <v>236</v>
      </c>
      <c r="B273" s="58">
        <v>0.66005736981600549</v>
      </c>
      <c r="C273" s="57">
        <v>6993.2283402064768</v>
      </c>
      <c r="D273" s="57">
        <v>10594.879566538097</v>
      </c>
    </row>
    <row r="274" spans="1:4" x14ac:dyDescent="0.2">
      <c r="A274">
        <v>237</v>
      </c>
      <c r="B274" s="58">
        <v>1.1575199940749776</v>
      </c>
      <c r="C274" s="57">
        <v>6743.6332483412243</v>
      </c>
      <c r="D274" s="57">
        <v>5825.9324096862292</v>
      </c>
    </row>
    <row r="275" spans="1:4" x14ac:dyDescent="0.2">
      <c r="A275">
        <v>238</v>
      </c>
      <c r="B275" s="58">
        <v>0.80449349902018064</v>
      </c>
      <c r="C275" s="57">
        <v>6267.0988178797816</v>
      </c>
      <c r="D275" s="57">
        <v>7790.117416129141</v>
      </c>
    </row>
    <row r="276" spans="1:4" x14ac:dyDescent="0.2">
      <c r="A276">
        <v>239</v>
      </c>
      <c r="B276" s="58">
        <v>1.0784531222856275</v>
      </c>
      <c r="C276" s="57">
        <v>6230.4870078301974</v>
      </c>
      <c r="D276" s="57">
        <v>5777.2441648882887</v>
      </c>
    </row>
    <row r="277" spans="1:4" x14ac:dyDescent="0.2">
      <c r="A277">
        <v>240</v>
      </c>
      <c r="B277" s="58">
        <v>0.98149432102577361</v>
      </c>
      <c r="C277" s="57">
        <v>6831.9011645008486</v>
      </c>
      <c r="D277" s="57">
        <v>6960.7139013914339</v>
      </c>
    </row>
    <row r="278" spans="1:4" x14ac:dyDescent="0.2">
      <c r="A278">
        <v>241</v>
      </c>
      <c r="B278" s="58">
        <v>0.89406011072576597</v>
      </c>
      <c r="C278" s="57">
        <v>6768.4654048404318</v>
      </c>
      <c r="D278" s="57">
        <v>7570.4813620932428</v>
      </c>
    </row>
    <row r="279" spans="1:4" x14ac:dyDescent="0.2">
      <c r="A279">
        <v>242</v>
      </c>
      <c r="B279" s="58">
        <v>0.79373011010924621</v>
      </c>
      <c r="C279" s="57">
        <v>6473.1432785408833</v>
      </c>
      <c r="D279" s="57">
        <v>8155.3454960275385</v>
      </c>
    </row>
    <row r="280" spans="1:4" x14ac:dyDescent="0.2">
      <c r="A280">
        <v>243</v>
      </c>
      <c r="B280" s="58">
        <v>0.80026061713047092</v>
      </c>
      <c r="C280" s="57">
        <v>8020.1812306846568</v>
      </c>
      <c r="D280" s="57">
        <v>10021.961669740749</v>
      </c>
    </row>
    <row r="281" spans="1:4" x14ac:dyDescent="0.2">
      <c r="A281">
        <v>244</v>
      </c>
      <c r="B281" s="58">
        <v>0.64971706347108604</v>
      </c>
      <c r="C281" s="57">
        <v>5741.906618767719</v>
      </c>
      <c r="D281" s="57">
        <v>8837.5493604736566</v>
      </c>
    </row>
    <row r="282" spans="1:4" x14ac:dyDescent="0.2">
      <c r="A282">
        <v>245</v>
      </c>
      <c r="B282" s="58">
        <v>0.79754595126571726</v>
      </c>
      <c r="C282" s="57">
        <v>5671.215931450577</v>
      </c>
      <c r="D282" s="57">
        <v>7110.8328271872906</v>
      </c>
    </row>
    <row r="283" spans="1:4" x14ac:dyDescent="0.2">
      <c r="A283">
        <v>246</v>
      </c>
      <c r="B283" s="58">
        <v>0.77474210418204237</v>
      </c>
      <c r="C283" s="57">
        <v>6951.8916355110541</v>
      </c>
      <c r="D283" s="57">
        <v>8973.1687460703142</v>
      </c>
    </row>
    <row r="284" spans="1:4" x14ac:dyDescent="0.2">
      <c r="A284">
        <v>247</v>
      </c>
      <c r="B284" s="58">
        <v>0.85233284805102016</v>
      </c>
      <c r="C284" s="57">
        <v>7451.1535895873858</v>
      </c>
      <c r="D284" s="57">
        <v>8742.0701978405559</v>
      </c>
    </row>
    <row r="285" spans="1:4" x14ac:dyDescent="0.2">
      <c r="A285">
        <v>248</v>
      </c>
      <c r="B285" s="58">
        <v>1.011591798335667</v>
      </c>
      <c r="C285" s="57">
        <v>5572.9200454761285</v>
      </c>
      <c r="D285" s="57">
        <v>5509.0601314137175</v>
      </c>
    </row>
    <row r="286" spans="1:4" x14ac:dyDescent="0.2">
      <c r="A286">
        <v>249</v>
      </c>
      <c r="B286" s="58">
        <v>0.66200186776291314</v>
      </c>
      <c r="C286" s="57">
        <v>6147.0465048775814</v>
      </c>
      <c r="D286" s="57">
        <v>9285.5425403105673</v>
      </c>
    </row>
    <row r="287" spans="1:4" x14ac:dyDescent="0.2">
      <c r="A287">
        <v>250</v>
      </c>
      <c r="B287" s="58">
        <v>0.80493870740718876</v>
      </c>
      <c r="C287" s="57">
        <v>8011.6134703844336</v>
      </c>
      <c r="D287" s="57">
        <v>9953.0726956725339</v>
      </c>
    </row>
    <row r="288" spans="1:4" x14ac:dyDescent="0.2">
      <c r="A288">
        <v>251</v>
      </c>
      <c r="B288" s="58">
        <v>0.62220077986817834</v>
      </c>
      <c r="C288" s="57">
        <v>6689.5229173610423</v>
      </c>
      <c r="D288" s="57">
        <v>10751.389477168943</v>
      </c>
    </row>
    <row r="289" spans="1:4" x14ac:dyDescent="0.2">
      <c r="A289">
        <v>252</v>
      </c>
      <c r="B289" s="58">
        <v>0.94892048275605934</v>
      </c>
      <c r="C289" s="57">
        <v>7302.1066911782709</v>
      </c>
      <c r="D289" s="57">
        <v>7695.1723815360365</v>
      </c>
    </row>
    <row r="290" spans="1:4" x14ac:dyDescent="0.2">
      <c r="A290">
        <v>253</v>
      </c>
      <c r="B290" s="58">
        <v>0.92630562218466306</v>
      </c>
      <c r="C290" s="57">
        <v>5773.8521974335399</v>
      </c>
      <c r="D290" s="57">
        <v>6233.2043109228771</v>
      </c>
    </row>
    <row r="291" spans="1:4" x14ac:dyDescent="0.2">
      <c r="A291">
        <v>254</v>
      </c>
      <c r="B291" s="58">
        <v>0.74625927340329934</v>
      </c>
      <c r="C291" s="57">
        <v>6884.3616832109074</v>
      </c>
      <c r="D291" s="57">
        <v>9225.1606493476775</v>
      </c>
    </row>
    <row r="292" spans="1:4" x14ac:dyDescent="0.2">
      <c r="A292">
        <v>255</v>
      </c>
      <c r="B292" s="58">
        <v>0.78141573555954302</v>
      </c>
      <c r="C292" s="57">
        <v>6001.5140791772228</v>
      </c>
      <c r="D292" s="57">
        <v>7680.3087090123154</v>
      </c>
    </row>
    <row r="293" spans="1:4" x14ac:dyDescent="0.2">
      <c r="A293">
        <v>256</v>
      </c>
      <c r="B293" s="58">
        <v>0.68775976001759886</v>
      </c>
      <c r="C293" s="57">
        <v>7148.4577196500231</v>
      </c>
      <c r="D293" s="57">
        <v>10393.829553894086</v>
      </c>
    </row>
    <row r="294" spans="1:4" x14ac:dyDescent="0.2">
      <c r="A294">
        <v>257</v>
      </c>
      <c r="B294" s="58">
        <v>0.9937233454361003</v>
      </c>
      <c r="C294" s="57">
        <v>7607.4064319463114</v>
      </c>
      <c r="D294" s="57">
        <v>7655.4570916392877</v>
      </c>
    </row>
    <row r="295" spans="1:4" x14ac:dyDescent="0.2">
      <c r="A295">
        <v>258</v>
      </c>
      <c r="B295" s="58">
        <v>1.1986186795301705</v>
      </c>
      <c r="C295" s="57">
        <v>8284.973868187235</v>
      </c>
      <c r="D295" s="57">
        <v>6912.1014127985591</v>
      </c>
    </row>
    <row r="296" spans="1:4" x14ac:dyDescent="0.2">
      <c r="A296">
        <v>259</v>
      </c>
      <c r="B296" s="58">
        <v>0.67236030366013644</v>
      </c>
      <c r="C296" s="57">
        <v>5283.8035846310431</v>
      </c>
      <c r="D296" s="57">
        <v>7858.5894435878108</v>
      </c>
    </row>
    <row r="297" spans="1:4" x14ac:dyDescent="0.2">
      <c r="A297">
        <v>260</v>
      </c>
      <c r="B297" s="58">
        <v>1.2265539731092341</v>
      </c>
      <c r="C297" s="57">
        <v>6964.2481731070766</v>
      </c>
      <c r="D297" s="57">
        <v>5677.897855121013</v>
      </c>
    </row>
    <row r="298" spans="1:4" x14ac:dyDescent="0.2">
      <c r="A298">
        <v>261</v>
      </c>
      <c r="B298" s="58">
        <v>0.62194909039354229</v>
      </c>
      <c r="C298" s="57">
        <v>6159.9122400903179</v>
      </c>
      <c r="D298" s="57">
        <v>9904.2065262811047</v>
      </c>
    </row>
    <row r="299" spans="1:4" x14ac:dyDescent="0.2">
      <c r="A299">
        <v>262</v>
      </c>
      <c r="B299" s="58">
        <v>0.65279383107744238</v>
      </c>
      <c r="C299" s="57">
        <v>7432.742532910207</v>
      </c>
      <c r="D299" s="57">
        <v>11386.048977580556</v>
      </c>
    </row>
    <row r="300" spans="1:4" x14ac:dyDescent="0.2">
      <c r="A300">
        <v>263</v>
      </c>
      <c r="B300" s="58">
        <v>0.66713691058304647</v>
      </c>
      <c r="C300" s="57">
        <v>7988.3357394024915</v>
      </c>
      <c r="D300" s="57">
        <v>11974.057517550722</v>
      </c>
    </row>
    <row r="301" spans="1:4" x14ac:dyDescent="0.2">
      <c r="A301">
        <v>264</v>
      </c>
      <c r="B301" s="58">
        <v>1.0998579491929563</v>
      </c>
      <c r="C301" s="57">
        <v>6873.2274129491843</v>
      </c>
      <c r="D301" s="57">
        <v>6249.1955602017133</v>
      </c>
    </row>
    <row r="302" spans="1:4" x14ac:dyDescent="0.2">
      <c r="A302">
        <v>265</v>
      </c>
      <c r="B302" s="58">
        <v>1.0148008993078683</v>
      </c>
      <c r="C302" s="57">
        <v>6003.8001667945209</v>
      </c>
      <c r="D302" s="57">
        <v>5916.2345745745142</v>
      </c>
    </row>
    <row r="303" spans="1:4" x14ac:dyDescent="0.2">
      <c r="A303">
        <v>266</v>
      </c>
      <c r="B303" s="58">
        <v>0.54669898279557394</v>
      </c>
      <c r="C303" s="57">
        <v>8652.230639936668</v>
      </c>
      <c r="D303" s="57">
        <v>15826.315600027336</v>
      </c>
    </row>
    <row r="304" spans="1:4" x14ac:dyDescent="0.2">
      <c r="A304">
        <v>267</v>
      </c>
      <c r="B304" s="58">
        <v>0.91410933235337133</v>
      </c>
      <c r="C304" s="57">
        <v>5775.8554994844817</v>
      </c>
      <c r="D304" s="57">
        <v>6318.5609150434575</v>
      </c>
    </row>
    <row r="305" spans="1:4" x14ac:dyDescent="0.2">
      <c r="A305">
        <v>268</v>
      </c>
      <c r="B305" s="58">
        <v>0.87874208412576138</v>
      </c>
      <c r="C305" s="57">
        <v>7304.8143488310034</v>
      </c>
      <c r="D305" s="57">
        <v>8312.808138804894</v>
      </c>
    </row>
    <row r="306" spans="1:4" x14ac:dyDescent="0.2">
      <c r="A306">
        <v>269</v>
      </c>
      <c r="B306" s="58">
        <v>0.82101665449260519</v>
      </c>
      <c r="C306" s="57">
        <v>6392.9672615401278</v>
      </c>
      <c r="D306" s="57">
        <v>7786.6474773170494</v>
      </c>
    </row>
    <row r="307" spans="1:4" x14ac:dyDescent="0.2">
      <c r="A307">
        <v>270</v>
      </c>
      <c r="B307" s="58">
        <v>0.61668061108888317</v>
      </c>
      <c r="C307" s="57">
        <v>8327.2917221540665</v>
      </c>
      <c r="D307" s="57">
        <v>13503.410959281548</v>
      </c>
    </row>
    <row r="308" spans="1:4" x14ac:dyDescent="0.2">
      <c r="A308">
        <v>271</v>
      </c>
      <c r="B308" s="58">
        <v>0.5606005931037128</v>
      </c>
      <c r="C308" s="57">
        <v>7446.3239686576844</v>
      </c>
      <c r="D308" s="57">
        <v>13282.761488766553</v>
      </c>
    </row>
    <row r="309" spans="1:4" x14ac:dyDescent="0.2">
      <c r="A309">
        <v>272</v>
      </c>
      <c r="B309" s="58">
        <v>0.88997476658619323</v>
      </c>
      <c r="C309" s="57">
        <v>6274.6564048197251</v>
      </c>
      <c r="D309" s="57">
        <v>7050.3756290623214</v>
      </c>
    </row>
    <row r="310" spans="1:4" x14ac:dyDescent="0.2">
      <c r="A310">
        <v>273</v>
      </c>
      <c r="B310" s="58">
        <v>0.75782982212985317</v>
      </c>
      <c r="C310" s="57">
        <v>5796.83894757087</v>
      </c>
      <c r="D310" s="57">
        <v>7649.2621143874558</v>
      </c>
    </row>
    <row r="311" spans="1:4" x14ac:dyDescent="0.2">
      <c r="A311">
        <v>274</v>
      </c>
      <c r="B311" s="58">
        <v>0.78671460437817853</v>
      </c>
      <c r="C311" s="57">
        <v>5765.7250346599067</v>
      </c>
      <c r="D311" s="57">
        <v>7328.8648800630217</v>
      </c>
    </row>
    <row r="312" spans="1:4" x14ac:dyDescent="0.2">
      <c r="A312">
        <v>275</v>
      </c>
      <c r="B312" s="58">
        <v>0.69858665075415427</v>
      </c>
      <c r="C312" s="57">
        <v>7963.568877684067</v>
      </c>
      <c r="D312" s="57">
        <v>11399.543448313896</v>
      </c>
    </row>
    <row r="313" spans="1:4" x14ac:dyDescent="0.2">
      <c r="A313">
        <v>276</v>
      </c>
      <c r="B313" s="58">
        <v>0.89040458219911844</v>
      </c>
      <c r="C313" s="57">
        <v>5829.70533712428</v>
      </c>
      <c r="D313" s="57">
        <v>6547.2544208230511</v>
      </c>
    </row>
    <row r="314" spans="1:4" x14ac:dyDescent="0.2">
      <c r="A314">
        <v>277</v>
      </c>
      <c r="B314" s="58">
        <v>1.1738401086611301</v>
      </c>
      <c r="C314" s="57">
        <v>6817.9511257597078</v>
      </c>
      <c r="D314" s="57">
        <v>5808.2451566050104</v>
      </c>
    </row>
    <row r="315" spans="1:4" x14ac:dyDescent="0.2">
      <c r="A315">
        <v>278</v>
      </c>
      <c r="B315" s="58">
        <v>0.69505573601901283</v>
      </c>
      <c r="C315" s="57">
        <v>7683.5616947335348</v>
      </c>
      <c r="D315" s="57">
        <v>11054.597921515973</v>
      </c>
    </row>
    <row r="316" spans="1:4" x14ac:dyDescent="0.2">
      <c r="A316">
        <v>279</v>
      </c>
      <c r="B316" s="58">
        <v>0.88884171342482343</v>
      </c>
      <c r="C316" s="57">
        <v>4926.791725354853</v>
      </c>
      <c r="D316" s="57">
        <v>5542.9348678644701</v>
      </c>
    </row>
    <row r="317" spans="1:4" x14ac:dyDescent="0.2">
      <c r="A317">
        <v>280</v>
      </c>
      <c r="B317" s="58">
        <v>1.0150035383947937</v>
      </c>
      <c r="C317" s="57">
        <v>6200.4659225218365</v>
      </c>
      <c r="D317" s="57">
        <v>6108.8121252540068</v>
      </c>
    </row>
    <row r="318" spans="1:4" x14ac:dyDescent="0.2">
      <c r="A318">
        <v>281</v>
      </c>
      <c r="B318" s="58">
        <v>0.65814820134933871</v>
      </c>
      <c r="C318" s="57">
        <v>5107.0457411395073</v>
      </c>
      <c r="D318" s="57">
        <v>7759.7199698624363</v>
      </c>
    </row>
    <row r="319" spans="1:4" x14ac:dyDescent="0.2">
      <c r="A319">
        <v>282</v>
      </c>
      <c r="B319" s="58">
        <v>0.62071038997254124</v>
      </c>
      <c r="C319" s="57">
        <v>6134.2214007026178</v>
      </c>
      <c r="D319" s="57">
        <v>9882.5821184884317</v>
      </c>
    </row>
    <row r="320" spans="1:4" x14ac:dyDescent="0.2">
      <c r="A320">
        <v>283</v>
      </c>
      <c r="B320" s="58">
        <v>0.9162539043179283</v>
      </c>
      <c r="C320" s="57">
        <v>7362.2988347108339</v>
      </c>
      <c r="D320" s="57">
        <v>8035.2168760376826</v>
      </c>
    </row>
    <row r="321" spans="1:4" x14ac:dyDescent="0.2">
      <c r="A321">
        <v>284</v>
      </c>
      <c r="B321" s="59">
        <v>0.66557440052550376</v>
      </c>
      <c r="C321" s="60">
        <v>6600.2621618668145</v>
      </c>
      <c r="D321" s="60">
        <v>9916.6406590391434</v>
      </c>
    </row>
    <row r="322" spans="1:4" x14ac:dyDescent="0.2">
      <c r="A322">
        <v>285</v>
      </c>
      <c r="B322" s="58">
        <v>1.0900647420423191</v>
      </c>
      <c r="C322" s="57">
        <v>7826.5414543538263</v>
      </c>
      <c r="D322" s="57">
        <v>7179.8868016685019</v>
      </c>
    </row>
    <row r="323" spans="1:4" x14ac:dyDescent="0.2">
      <c r="A323">
        <v>286</v>
      </c>
      <c r="B323" s="58">
        <v>0.82375803471068387</v>
      </c>
      <c r="C323" s="57">
        <v>7904.1642886649379</v>
      </c>
      <c r="D323" s="57">
        <v>9595.2500074138861</v>
      </c>
    </row>
    <row r="324" spans="1:4" x14ac:dyDescent="0.2">
      <c r="A324">
        <v>287</v>
      </c>
      <c r="B324" s="58">
        <v>0.94242829827847885</v>
      </c>
      <c r="C324" s="57">
        <v>5474.5626895495679</v>
      </c>
      <c r="D324" s="57">
        <v>5808.9965035535097</v>
      </c>
    </row>
    <row r="325" spans="1:4" x14ac:dyDescent="0.2">
      <c r="A325">
        <v>288</v>
      </c>
      <c r="B325" s="58">
        <v>0.95665857354369255</v>
      </c>
      <c r="C325" s="57">
        <v>6602.3811656969465</v>
      </c>
      <c r="D325" s="57">
        <v>6901.5021119187222</v>
      </c>
    </row>
    <row r="326" spans="1:4" x14ac:dyDescent="0.2">
      <c r="A326">
        <v>289</v>
      </c>
      <c r="B326" s="58">
        <v>0.70921687941715383</v>
      </c>
      <c r="C326" s="57">
        <v>8213.134475128807</v>
      </c>
      <c r="D326" s="57">
        <v>11580.568248570869</v>
      </c>
    </row>
    <row r="327" spans="1:4" x14ac:dyDescent="0.2">
      <c r="A327">
        <v>290</v>
      </c>
      <c r="B327" s="58">
        <v>0.7004676568695265</v>
      </c>
      <c r="C327" s="57">
        <v>7377.575925844666</v>
      </c>
      <c r="D327" s="57">
        <v>10532.357709156669</v>
      </c>
    </row>
    <row r="328" spans="1:4" x14ac:dyDescent="0.2">
      <c r="A328">
        <v>291</v>
      </c>
      <c r="B328" s="58">
        <v>1.1376563828811284</v>
      </c>
      <c r="C328" s="57">
        <v>5497.5938677573449</v>
      </c>
      <c r="D328" s="57">
        <v>4832.3852003841639</v>
      </c>
    </row>
    <row r="329" spans="1:4" x14ac:dyDescent="0.2">
      <c r="A329">
        <v>292</v>
      </c>
      <c r="B329" s="58">
        <v>0.73378698293567091</v>
      </c>
      <c r="C329" s="57">
        <v>6271.9769336839636</v>
      </c>
      <c r="D329" s="57">
        <v>8547.408279977366</v>
      </c>
    </row>
    <row r="330" spans="1:4" x14ac:dyDescent="0.2">
      <c r="A330">
        <v>293</v>
      </c>
      <c r="B330" s="58">
        <v>0.7067105497958881</v>
      </c>
      <c r="C330" s="57">
        <v>7682.3472342765872</v>
      </c>
      <c r="D330" s="57">
        <v>10870.57103717413</v>
      </c>
    </row>
    <row r="331" spans="1:4" x14ac:dyDescent="0.2">
      <c r="A331">
        <v>294</v>
      </c>
      <c r="B331" s="58">
        <v>0.78099450117832347</v>
      </c>
      <c r="C331" s="57">
        <v>6586.17297786155</v>
      </c>
      <c r="D331" s="57">
        <v>8433.059346672324</v>
      </c>
    </row>
    <row r="332" spans="1:4" x14ac:dyDescent="0.2">
      <c r="A332">
        <v>295</v>
      </c>
      <c r="B332" s="58">
        <v>0.70925582936245046</v>
      </c>
      <c r="C332" s="57">
        <v>7390.405908266137</v>
      </c>
      <c r="D332" s="57">
        <v>10419.943837344794</v>
      </c>
    </row>
    <row r="333" spans="1:4" x14ac:dyDescent="0.2">
      <c r="A333">
        <v>296</v>
      </c>
      <c r="B333" s="58">
        <v>1.0338919266451914</v>
      </c>
      <c r="C333" s="57">
        <v>8759.7950055053279</v>
      </c>
      <c r="D333" s="57">
        <v>8472.6408822336161</v>
      </c>
    </row>
    <row r="334" spans="1:4" x14ac:dyDescent="0.2">
      <c r="A334">
        <v>297</v>
      </c>
      <c r="B334" s="58">
        <v>0.6447599378915303</v>
      </c>
      <c r="C334" s="57">
        <v>6570.1841490348488</v>
      </c>
      <c r="D334" s="57">
        <v>10190.124669532692</v>
      </c>
    </row>
    <row r="335" spans="1:4" x14ac:dyDescent="0.2">
      <c r="A335">
        <v>298</v>
      </c>
      <c r="B335" s="58">
        <v>0.98198915393008424</v>
      </c>
      <c r="C335" s="57">
        <v>7915.0489827772435</v>
      </c>
      <c r="D335" s="57">
        <v>8060.2203711720222</v>
      </c>
    </row>
    <row r="336" spans="1:4" x14ac:dyDescent="0.2">
      <c r="A336">
        <v>299</v>
      </c>
      <c r="B336" s="58">
        <v>0.85148217922656055</v>
      </c>
      <c r="C336" s="57">
        <v>7480.8161027765364</v>
      </c>
      <c r="D336" s="57">
        <v>8785.6402462488368</v>
      </c>
    </row>
    <row r="337" spans="1:4" x14ac:dyDescent="0.2">
      <c r="A337">
        <v>300</v>
      </c>
      <c r="B337" s="58">
        <v>0.84291463824173896</v>
      </c>
      <c r="C337" s="57">
        <v>7434.2126695844345</v>
      </c>
      <c r="D337" s="57">
        <v>8819.6506885818035</v>
      </c>
    </row>
    <row r="338" spans="1:4" x14ac:dyDescent="0.2">
      <c r="A338">
        <v>301</v>
      </c>
      <c r="B338" s="58">
        <v>0.66146361723389191</v>
      </c>
      <c r="C338" s="57">
        <v>6487.9265592805659</v>
      </c>
      <c r="D338" s="57">
        <v>9808.4405404060963</v>
      </c>
    </row>
    <row r="339" spans="1:4" x14ac:dyDescent="0.2">
      <c r="A339">
        <v>302</v>
      </c>
      <c r="B339" s="58">
        <v>0.93974909209913982</v>
      </c>
      <c r="C339" s="57">
        <v>6458.933181255381</v>
      </c>
      <c r="D339" s="57">
        <v>6873.0400865063984</v>
      </c>
    </row>
    <row r="340" spans="1:4" x14ac:dyDescent="0.2">
      <c r="A340">
        <v>303</v>
      </c>
      <c r="B340" s="58">
        <v>0.79540641838941006</v>
      </c>
      <c r="C340" s="57">
        <v>6343.9337834118433</v>
      </c>
      <c r="D340" s="57">
        <v>7975.7135933821701</v>
      </c>
    </row>
    <row r="341" spans="1:4" x14ac:dyDescent="0.2">
      <c r="A341">
        <v>304</v>
      </c>
      <c r="B341" s="58">
        <v>0.77288997281588134</v>
      </c>
      <c r="C341" s="57">
        <v>7959.7834008630598</v>
      </c>
      <c r="D341" s="57">
        <v>10298.72773722638</v>
      </c>
    </row>
    <row r="342" spans="1:4" x14ac:dyDescent="0.2">
      <c r="A342">
        <v>305</v>
      </c>
      <c r="B342" s="58">
        <v>0.90065789787135664</v>
      </c>
      <c r="C342" s="57">
        <v>6816.8064730029819</v>
      </c>
      <c r="D342" s="57">
        <v>7568.6967150502296</v>
      </c>
    </row>
    <row r="343" spans="1:4" x14ac:dyDescent="0.2">
      <c r="A343">
        <v>306</v>
      </c>
      <c r="B343" s="58">
        <v>0.91598018500779688</v>
      </c>
      <c r="C343" s="57">
        <v>7768.6384865633136</v>
      </c>
      <c r="D343" s="57">
        <v>8481.229849417743</v>
      </c>
    </row>
    <row r="344" spans="1:4" x14ac:dyDescent="0.2">
      <c r="A344">
        <v>307</v>
      </c>
      <c r="B344" s="58">
        <v>1.0792620394064825</v>
      </c>
      <c r="C344" s="57">
        <v>5112.8257088940391</v>
      </c>
      <c r="D344" s="57">
        <v>4737.3348845899654</v>
      </c>
    </row>
    <row r="345" spans="1:4" x14ac:dyDescent="0.2">
      <c r="A345">
        <v>308</v>
      </c>
      <c r="B345" s="58">
        <v>0.79171117586330997</v>
      </c>
      <c r="C345" s="57">
        <v>6462.9211739648181</v>
      </c>
      <c r="D345" s="57">
        <v>8163.23094961672</v>
      </c>
    </row>
    <row r="346" spans="1:4" x14ac:dyDescent="0.2">
      <c r="A346">
        <v>309</v>
      </c>
      <c r="B346" s="58">
        <v>0.92047354292369121</v>
      </c>
      <c r="C346" s="57">
        <v>7035.7131533661322</v>
      </c>
      <c r="D346" s="57">
        <v>7643.5799892940586</v>
      </c>
    </row>
    <row r="347" spans="1:4" x14ac:dyDescent="0.2">
      <c r="A347">
        <v>310</v>
      </c>
      <c r="B347" s="58">
        <v>0.87251634751097562</v>
      </c>
      <c r="C347" s="57">
        <v>4623.5764274229077</v>
      </c>
      <c r="D347" s="57">
        <v>5299.1287104391431</v>
      </c>
    </row>
    <row r="348" spans="1:4" x14ac:dyDescent="0.2">
      <c r="A348">
        <v>311</v>
      </c>
      <c r="B348" s="58">
        <v>0.68230516358089055</v>
      </c>
      <c r="C348" s="57">
        <v>6183.8063010668811</v>
      </c>
      <c r="D348" s="57">
        <v>9063.1093404201692</v>
      </c>
    </row>
    <row r="349" spans="1:4" x14ac:dyDescent="0.2">
      <c r="A349">
        <v>312</v>
      </c>
      <c r="B349" s="58">
        <v>1.0093032642814936</v>
      </c>
      <c r="C349" s="57">
        <v>5824.9973908408447</v>
      </c>
      <c r="D349" s="57">
        <v>5771.3054113498429</v>
      </c>
    </row>
    <row r="350" spans="1:4" x14ac:dyDescent="0.2">
      <c r="A350">
        <v>313</v>
      </c>
      <c r="B350" s="58">
        <v>0.82101094151637533</v>
      </c>
      <c r="C350" s="57">
        <v>7834.8955174108187</v>
      </c>
      <c r="D350" s="57">
        <v>9542.9855087437336</v>
      </c>
    </row>
    <row r="351" spans="1:4" x14ac:dyDescent="0.2">
      <c r="A351">
        <v>314</v>
      </c>
      <c r="B351" s="58">
        <v>0.9838101217882107</v>
      </c>
      <c r="C351" s="57">
        <v>7347.0479352301763</v>
      </c>
      <c r="D351" s="57">
        <v>7467.9531878325288</v>
      </c>
    </row>
    <row r="352" spans="1:4" x14ac:dyDescent="0.2">
      <c r="A352">
        <v>315</v>
      </c>
      <c r="B352" s="58">
        <v>0.93855515989504568</v>
      </c>
      <c r="C352" s="57">
        <v>9357.8667311691697</v>
      </c>
      <c r="D352" s="57">
        <v>9970.5026737220396</v>
      </c>
    </row>
    <row r="353" spans="1:4" x14ac:dyDescent="0.2">
      <c r="A353">
        <v>316</v>
      </c>
      <c r="B353" s="58">
        <v>0.82857292717305597</v>
      </c>
      <c r="C353" s="57">
        <v>7936.7119901376491</v>
      </c>
      <c r="D353" s="57">
        <v>9578.7730082085891</v>
      </c>
    </row>
    <row r="354" spans="1:4" x14ac:dyDescent="0.2">
      <c r="A354">
        <v>317</v>
      </c>
      <c r="B354" s="58">
        <v>0.81340067848979736</v>
      </c>
      <c r="C354" s="57">
        <v>7978.8179547866966</v>
      </c>
      <c r="D354" s="57">
        <v>9809.2098590335463</v>
      </c>
    </row>
    <row r="355" spans="1:4" x14ac:dyDescent="0.2">
      <c r="A355">
        <v>318</v>
      </c>
      <c r="B355" s="58">
        <v>0.85074845465571514</v>
      </c>
      <c r="C355" s="57">
        <v>5191.8056120902866</v>
      </c>
      <c r="D355" s="57">
        <v>6102.63302116879</v>
      </c>
    </row>
    <row r="356" spans="1:4" x14ac:dyDescent="0.2">
      <c r="A356">
        <v>319</v>
      </c>
      <c r="B356" s="58">
        <v>0.82364863220308315</v>
      </c>
      <c r="C356" s="57">
        <v>7040.1991188729153</v>
      </c>
      <c r="D356" s="57">
        <v>8547.5758030968809</v>
      </c>
    </row>
    <row r="357" spans="1:4" x14ac:dyDescent="0.2">
      <c r="A357">
        <v>320</v>
      </c>
      <c r="B357" s="58">
        <v>0.68290407823436006</v>
      </c>
      <c r="C357" s="57">
        <v>7469.0529804167872</v>
      </c>
      <c r="D357" s="57">
        <v>10937.191940232558</v>
      </c>
    </row>
    <row r="358" spans="1:4" x14ac:dyDescent="0.2">
      <c r="A358">
        <v>321</v>
      </c>
      <c r="B358" s="58">
        <v>0.95225380397970838</v>
      </c>
      <c r="C358" s="57">
        <v>6484.884960278072</v>
      </c>
      <c r="D358" s="57">
        <v>6810.0383880601003</v>
      </c>
    </row>
    <row r="359" spans="1:4" x14ac:dyDescent="0.2">
      <c r="A359">
        <v>322</v>
      </c>
      <c r="B359" s="58">
        <v>0.87059784157950748</v>
      </c>
      <c r="C359" s="57">
        <v>7588.8535514500545</v>
      </c>
      <c r="D359" s="57">
        <v>8716.8301930105372</v>
      </c>
    </row>
    <row r="360" spans="1:4" x14ac:dyDescent="0.2">
      <c r="A360">
        <v>323</v>
      </c>
      <c r="B360" s="58">
        <v>0.59858341062429155</v>
      </c>
      <c r="C360" s="57">
        <v>6015.1987369761082</v>
      </c>
      <c r="D360" s="57">
        <v>10049.056873631975</v>
      </c>
    </row>
    <row r="361" spans="1:4" x14ac:dyDescent="0.2">
      <c r="A361">
        <v>324</v>
      </c>
      <c r="B361" s="58">
        <v>0.68733149255479375</v>
      </c>
      <c r="C361" s="57">
        <v>5676.5019512022209</v>
      </c>
      <c r="D361" s="57">
        <v>8258.7543458874661</v>
      </c>
    </row>
    <row r="362" spans="1:4" x14ac:dyDescent="0.2">
      <c r="A362">
        <v>325</v>
      </c>
      <c r="B362" s="58">
        <v>1.0022822042818236</v>
      </c>
      <c r="C362" s="57">
        <v>6193.5351784674931</v>
      </c>
      <c r="D362" s="57">
        <v>6179.4324512679696</v>
      </c>
    </row>
    <row r="363" spans="1:4" x14ac:dyDescent="0.2">
      <c r="A363">
        <v>326</v>
      </c>
      <c r="B363" s="59">
        <v>0.94075911162595638</v>
      </c>
      <c r="C363" s="60">
        <v>7361.2545023721796</v>
      </c>
      <c r="D363" s="60">
        <v>7824.8027698072374</v>
      </c>
    </row>
    <row r="364" spans="1:4" x14ac:dyDescent="0.2">
      <c r="A364">
        <v>327</v>
      </c>
      <c r="B364" s="58">
        <v>0.8126716005704413</v>
      </c>
      <c r="C364" s="57">
        <v>6995.5948629023551</v>
      </c>
      <c r="D364" s="57">
        <v>8608.1448619490493</v>
      </c>
    </row>
    <row r="365" spans="1:4" x14ac:dyDescent="0.2">
      <c r="A365">
        <v>328</v>
      </c>
      <c r="B365" s="58">
        <v>0.88750790961793413</v>
      </c>
      <c r="C365" s="57">
        <v>6184.1411064448903</v>
      </c>
      <c r="D365" s="57">
        <v>6967.9842167346087</v>
      </c>
    </row>
    <row r="366" spans="1:4" x14ac:dyDescent="0.2">
      <c r="A366">
        <v>329</v>
      </c>
      <c r="B366" s="58">
        <v>0.81341093250693941</v>
      </c>
      <c r="C366" s="57">
        <v>6922.0928782447609</v>
      </c>
      <c r="D366" s="57">
        <v>8509.9580072163662</v>
      </c>
    </row>
    <row r="367" spans="1:4" x14ac:dyDescent="0.2">
      <c r="A367">
        <v>330</v>
      </c>
      <c r="B367" s="59">
        <v>0.60770371465977568</v>
      </c>
      <c r="C367" s="60">
        <v>7580.8869647333895</v>
      </c>
      <c r="D367" s="60">
        <v>12474.643122722338</v>
      </c>
    </row>
    <row r="368" spans="1:4" x14ac:dyDescent="0.2">
      <c r="A368">
        <v>331</v>
      </c>
      <c r="B368" s="58">
        <v>0.7810819797542301</v>
      </c>
      <c r="C368" s="57">
        <v>8724.4119863909691</v>
      </c>
      <c r="D368" s="57">
        <v>11169.649553477258</v>
      </c>
    </row>
    <row r="369" spans="1:4" x14ac:dyDescent="0.2">
      <c r="A369">
        <v>332</v>
      </c>
      <c r="B369" s="58">
        <v>0.69695779504987421</v>
      </c>
      <c r="C369" s="57">
        <v>7728.0993377471486</v>
      </c>
      <c r="D369" s="57">
        <v>11088.331879829433</v>
      </c>
    </row>
    <row r="370" spans="1:4" x14ac:dyDescent="0.2">
      <c r="A370">
        <v>333</v>
      </c>
      <c r="B370" s="58">
        <v>0.89582794017460543</v>
      </c>
      <c r="C370" s="57">
        <v>6256.9338201781447</v>
      </c>
      <c r="D370" s="57">
        <v>6984.5263131205847</v>
      </c>
    </row>
    <row r="371" spans="1:4" x14ac:dyDescent="0.2">
      <c r="A371">
        <v>334</v>
      </c>
      <c r="B371" s="58">
        <v>0.85025194593875586</v>
      </c>
      <c r="C371" s="57">
        <v>8588.1301692233465</v>
      </c>
      <c r="D371" s="57">
        <v>10100.688637344154</v>
      </c>
    </row>
    <row r="372" spans="1:4" x14ac:dyDescent="0.2">
      <c r="A372">
        <v>335</v>
      </c>
      <c r="B372" s="58">
        <v>0.88388760893735441</v>
      </c>
      <c r="C372" s="57">
        <v>6560.8103905097068</v>
      </c>
      <c r="D372" s="57">
        <v>7422.6749240182016</v>
      </c>
    </row>
    <row r="373" spans="1:4" x14ac:dyDescent="0.2">
      <c r="A373">
        <v>336</v>
      </c>
      <c r="B373" s="58">
        <v>0.78792271045327222</v>
      </c>
      <c r="C373" s="57">
        <v>5381.0052387848846</v>
      </c>
      <c r="D373" s="57">
        <v>6829.3566962796731</v>
      </c>
    </row>
    <row r="374" spans="1:4" x14ac:dyDescent="0.2">
      <c r="A374">
        <v>337</v>
      </c>
      <c r="B374" s="59">
        <v>1.0409676351163126</v>
      </c>
      <c r="C374" s="60">
        <v>6242.5690990534658</v>
      </c>
      <c r="D374" s="60">
        <v>5996.8906702425493</v>
      </c>
    </row>
    <row r="375" spans="1:4" x14ac:dyDescent="0.2">
      <c r="A375">
        <v>338</v>
      </c>
      <c r="B375" s="58">
        <v>0.96942706989365668</v>
      </c>
      <c r="C375" s="57">
        <v>6536.6622005611862</v>
      </c>
      <c r="D375" s="57">
        <v>6742.8096486703625</v>
      </c>
    </row>
    <row r="376" spans="1:4" x14ac:dyDescent="0.2">
      <c r="A376">
        <v>339</v>
      </c>
      <c r="B376" s="58">
        <v>0.86682169421282396</v>
      </c>
      <c r="C376" s="57">
        <v>6494.1204776064624</v>
      </c>
      <c r="D376" s="57">
        <v>7491.8758044050655</v>
      </c>
    </row>
    <row r="377" spans="1:4" x14ac:dyDescent="0.2">
      <c r="A377">
        <v>340</v>
      </c>
      <c r="B377" s="58">
        <v>0.67080109315781922</v>
      </c>
      <c r="C377" s="57">
        <v>5907.1102199472571</v>
      </c>
      <c r="D377" s="57">
        <v>8806.0533594829612</v>
      </c>
    </row>
    <row r="378" spans="1:4" x14ac:dyDescent="0.2">
      <c r="A378">
        <v>341</v>
      </c>
      <c r="B378" s="59">
        <v>0.76704047433820843</v>
      </c>
      <c r="C378" s="60">
        <v>6857.975165729059</v>
      </c>
      <c r="D378" s="60">
        <v>8940.8256736986696</v>
      </c>
    </row>
    <row r="379" spans="1:4" x14ac:dyDescent="0.2">
      <c r="A379">
        <v>342</v>
      </c>
      <c r="B379" s="58">
        <v>0.63478857608702022</v>
      </c>
      <c r="C379" s="57">
        <v>6530.3506788754767</v>
      </c>
      <c r="D379" s="57">
        <v>10287.44203169192</v>
      </c>
    </row>
    <row r="380" spans="1:4" x14ac:dyDescent="0.2">
      <c r="A380">
        <v>343</v>
      </c>
      <c r="B380" s="58">
        <v>1.1267305919009116</v>
      </c>
      <c r="C380" s="57">
        <v>6317.9797664657308</v>
      </c>
      <c r="D380" s="57">
        <v>5607.3561966633406</v>
      </c>
    </row>
    <row r="381" spans="1:4" x14ac:dyDescent="0.2">
      <c r="A381">
        <v>344</v>
      </c>
      <c r="B381" s="58">
        <v>0.6859511991275884</v>
      </c>
      <c r="C381" s="57">
        <v>6870.976779015301</v>
      </c>
      <c r="D381" s="57">
        <v>10016.713707555287</v>
      </c>
    </row>
    <row r="382" spans="1:4" x14ac:dyDescent="0.2">
      <c r="A382">
        <v>345</v>
      </c>
      <c r="B382" s="58">
        <v>0.78681497399849132</v>
      </c>
      <c r="C382" s="57">
        <v>7658.4718337448867</v>
      </c>
      <c r="D382" s="57">
        <v>9733.5105289437106</v>
      </c>
    </row>
    <row r="383" spans="1:4" x14ac:dyDescent="0.2">
      <c r="A383">
        <v>346</v>
      </c>
      <c r="B383" s="58">
        <v>0.67233033310935042</v>
      </c>
      <c r="C383" s="57">
        <v>6076.7038840953874</v>
      </c>
      <c r="D383" s="57">
        <v>9038.2711962321191</v>
      </c>
    </row>
    <row r="384" spans="1:4" x14ac:dyDescent="0.2">
      <c r="A384">
        <v>347</v>
      </c>
      <c r="B384" s="59">
        <v>0.98898110805644013</v>
      </c>
      <c r="C384" s="60">
        <v>6042.3922705878722</v>
      </c>
      <c r="D384" s="60">
        <v>6109.7145550762525</v>
      </c>
    </row>
    <row r="385" spans="1:4" x14ac:dyDescent="0.2">
      <c r="A385">
        <v>348</v>
      </c>
      <c r="B385" s="58">
        <v>1.0275723156410868</v>
      </c>
      <c r="C385" s="57">
        <v>7202.1512041502538</v>
      </c>
      <c r="D385" s="57">
        <v>7008.8996117581673</v>
      </c>
    </row>
    <row r="386" spans="1:4" x14ac:dyDescent="0.2">
      <c r="A386">
        <v>349</v>
      </c>
      <c r="B386" s="58">
        <v>0.99004802738338604</v>
      </c>
      <c r="C386" s="57">
        <v>7396.2224678874391</v>
      </c>
      <c r="D386" s="57">
        <v>7470.5693696850594</v>
      </c>
    </row>
    <row r="387" spans="1:4" x14ac:dyDescent="0.2">
      <c r="A387">
        <v>350</v>
      </c>
      <c r="B387" s="58">
        <v>0.88032697149819938</v>
      </c>
      <c r="C387" s="57">
        <v>6468.9544217983403</v>
      </c>
      <c r="D387" s="57">
        <v>7348.3542265995102</v>
      </c>
    </row>
    <row r="388" spans="1:4" x14ac:dyDescent="0.2">
      <c r="A388">
        <v>351</v>
      </c>
      <c r="B388" s="58">
        <v>0.62423406968845541</v>
      </c>
      <c r="C388" s="57">
        <v>8160.7579357079194</v>
      </c>
      <c r="D388" s="57">
        <v>13073.233794786009</v>
      </c>
    </row>
    <row r="389" spans="1:4" x14ac:dyDescent="0.2">
      <c r="A389">
        <v>352</v>
      </c>
      <c r="B389" s="59">
        <v>0.98622424582660262</v>
      </c>
      <c r="C389" s="60">
        <v>5021.4335370051976</v>
      </c>
      <c r="D389" s="60">
        <v>5091.5738061139327</v>
      </c>
    </row>
    <row r="390" spans="1:4" x14ac:dyDescent="0.2">
      <c r="A390">
        <v>353</v>
      </c>
      <c r="B390" s="58">
        <v>0.88613278518177729</v>
      </c>
      <c r="C390" s="57">
        <v>9183.5294776554838</v>
      </c>
      <c r="D390" s="57">
        <v>10363.604226393243</v>
      </c>
    </row>
    <row r="391" spans="1:4" x14ac:dyDescent="0.2">
      <c r="A391">
        <v>354</v>
      </c>
      <c r="B391" s="58">
        <v>0.76475250357895508</v>
      </c>
      <c r="C391" s="57">
        <v>7708.2990272927645</v>
      </c>
      <c r="D391" s="57">
        <v>10079.468836282063</v>
      </c>
    </row>
    <row r="392" spans="1:4" x14ac:dyDescent="0.2">
      <c r="A392">
        <v>355</v>
      </c>
      <c r="B392" s="58">
        <v>0.81755877981635194</v>
      </c>
      <c r="C392" s="57">
        <v>7363.1846722648006</v>
      </c>
      <c r="D392" s="57">
        <v>9006.3061568720368</v>
      </c>
    </row>
    <row r="393" spans="1:4" x14ac:dyDescent="0.2">
      <c r="A393">
        <v>356</v>
      </c>
      <c r="B393" s="58">
        <v>0.74010097287467147</v>
      </c>
      <c r="C393" s="57">
        <v>9117.4259994755394</v>
      </c>
      <c r="D393" s="57">
        <v>12319.164997259748</v>
      </c>
    </row>
    <row r="394" spans="1:4" x14ac:dyDescent="0.2">
      <c r="A394">
        <v>357</v>
      </c>
      <c r="B394" s="58">
        <v>0.82067444863056949</v>
      </c>
      <c r="C394" s="57">
        <v>7393.2399736796451</v>
      </c>
      <c r="D394" s="57">
        <v>9008.7366385251589</v>
      </c>
    </row>
    <row r="395" spans="1:4" x14ac:dyDescent="0.2">
      <c r="A395">
        <v>358</v>
      </c>
      <c r="B395" s="58">
        <v>0.99568025209354083</v>
      </c>
      <c r="C395" s="57">
        <v>7487.1777305457717</v>
      </c>
      <c r="D395" s="57">
        <v>7519.660769411721</v>
      </c>
    </row>
    <row r="396" spans="1:4" x14ac:dyDescent="0.2">
      <c r="A396">
        <v>359</v>
      </c>
      <c r="B396" s="59">
        <v>0.85731433520235711</v>
      </c>
      <c r="C396" s="60">
        <v>8366.1609190032286</v>
      </c>
      <c r="D396" s="60">
        <v>9758.5687949898947</v>
      </c>
    </row>
    <row r="397" spans="1:4" x14ac:dyDescent="0.2">
      <c r="A397">
        <v>360</v>
      </c>
      <c r="B397" s="58">
        <v>0.96120029307058452</v>
      </c>
      <c r="C397" s="57">
        <v>6498.7656545857026</v>
      </c>
      <c r="D397" s="57">
        <v>6761.0941251642689</v>
      </c>
    </row>
    <row r="398" spans="1:4" x14ac:dyDescent="0.2">
      <c r="A398">
        <v>361</v>
      </c>
      <c r="B398" s="58">
        <v>0.84077449321275388</v>
      </c>
      <c r="C398" s="57">
        <v>7168.6070062575</v>
      </c>
      <c r="D398" s="57">
        <v>8526.1946742282053</v>
      </c>
    </row>
    <row r="399" spans="1:4" x14ac:dyDescent="0.2">
      <c r="A399">
        <v>362</v>
      </c>
      <c r="B399" s="58">
        <v>0.76415201800030097</v>
      </c>
      <c r="C399" s="57">
        <v>7338.1729813131096</v>
      </c>
      <c r="D399" s="57">
        <v>9603.0276809531624</v>
      </c>
    </row>
    <row r="400" spans="1:4" x14ac:dyDescent="0.2">
      <c r="A400">
        <v>363</v>
      </c>
      <c r="B400" s="58">
        <v>0.81049693171894344</v>
      </c>
      <c r="C400" s="57">
        <v>5517.9390393755148</v>
      </c>
      <c r="D400" s="57">
        <v>6808.0936810862277</v>
      </c>
    </row>
    <row r="401" spans="1:4" x14ac:dyDescent="0.2">
      <c r="A401">
        <v>364</v>
      </c>
      <c r="B401" s="58">
        <v>0.91838600548256899</v>
      </c>
      <c r="C401" s="57">
        <v>6394.5741964808367</v>
      </c>
      <c r="D401" s="57">
        <v>6962.8393271528421</v>
      </c>
    </row>
    <row r="402" spans="1:4" x14ac:dyDescent="0.2">
      <c r="A402">
        <v>365</v>
      </c>
      <c r="B402" s="58">
        <v>0.77174021149239103</v>
      </c>
      <c r="C402" s="57">
        <v>9002.3136724540873</v>
      </c>
      <c r="D402" s="57">
        <v>11664.953488746447</v>
      </c>
    </row>
    <row r="403" spans="1:4" x14ac:dyDescent="0.2">
      <c r="A403">
        <v>366</v>
      </c>
      <c r="B403" s="58">
        <v>0.60855242909047469</v>
      </c>
      <c r="C403" s="57">
        <v>7537.1890970784352</v>
      </c>
      <c r="D403" s="57">
        <v>12385.439177924745</v>
      </c>
    </row>
    <row r="404" spans="1:4" x14ac:dyDescent="0.2">
      <c r="A404">
        <v>367</v>
      </c>
      <c r="B404" s="58">
        <v>0.56854746005909185</v>
      </c>
      <c r="C404" s="57">
        <v>7759.4813898427774</v>
      </c>
      <c r="D404" s="57">
        <v>13647.904414235352</v>
      </c>
    </row>
    <row r="405" spans="1:4" x14ac:dyDescent="0.2">
      <c r="A405">
        <v>368</v>
      </c>
      <c r="B405" s="58">
        <v>1.0143915523438887</v>
      </c>
      <c r="C405" s="57">
        <v>5743.039480445027</v>
      </c>
      <c r="D405" s="57">
        <v>5661.5608313919402</v>
      </c>
    </row>
    <row r="406" spans="1:4" x14ac:dyDescent="0.2">
      <c r="A406">
        <v>369</v>
      </c>
      <c r="B406" s="58">
        <v>0.98217272852789517</v>
      </c>
      <c r="C406" s="57">
        <v>5801.1566583464009</v>
      </c>
      <c r="D406" s="57">
        <v>5906.4525921436634</v>
      </c>
    </row>
    <row r="407" spans="1:4" x14ac:dyDescent="0.2">
      <c r="A407">
        <v>370</v>
      </c>
      <c r="B407" s="58">
        <v>0.98489002124427749</v>
      </c>
      <c r="C407" s="57">
        <v>7645.4111105016254</v>
      </c>
      <c r="D407" s="57">
        <v>7762.7054245535619</v>
      </c>
    </row>
    <row r="408" spans="1:4" x14ac:dyDescent="0.2">
      <c r="A408">
        <v>371</v>
      </c>
      <c r="B408" s="58">
        <v>1.0778846728260101</v>
      </c>
      <c r="C408" s="57">
        <v>7004.6292969367551</v>
      </c>
      <c r="D408" s="57">
        <v>6498.4960576273334</v>
      </c>
    </row>
    <row r="409" spans="1:4" x14ac:dyDescent="0.2">
      <c r="A409">
        <v>372</v>
      </c>
      <c r="B409" s="58">
        <v>0.90518273281585948</v>
      </c>
      <c r="C409" s="57">
        <v>7693.8481076311346</v>
      </c>
      <c r="D409" s="57">
        <v>8499.7733923811902</v>
      </c>
    </row>
    <row r="410" spans="1:4" x14ac:dyDescent="0.2">
      <c r="A410">
        <v>373</v>
      </c>
      <c r="B410" s="58">
        <v>0.85398599248523155</v>
      </c>
      <c r="C410" s="57">
        <v>4954.6987614441496</v>
      </c>
      <c r="D410" s="57">
        <v>5801.8501533323852</v>
      </c>
    </row>
    <row r="411" spans="1:4" x14ac:dyDescent="0.2">
      <c r="A411">
        <v>374</v>
      </c>
      <c r="B411" s="58">
        <v>0.90469031210414741</v>
      </c>
      <c r="C411" s="57">
        <v>8695.6089303808058</v>
      </c>
      <c r="D411" s="57">
        <v>9611.6967475382589</v>
      </c>
    </row>
    <row r="412" spans="1:4" x14ac:dyDescent="0.2">
      <c r="A412">
        <v>375</v>
      </c>
      <c r="B412" s="58">
        <v>0.79095563863782914</v>
      </c>
      <c r="C412" s="57">
        <v>7296.1836985117461</v>
      </c>
      <c r="D412" s="57">
        <v>9224.5169540444949</v>
      </c>
    </row>
    <row r="413" spans="1:4" x14ac:dyDescent="0.2">
      <c r="A413">
        <v>376</v>
      </c>
      <c r="B413" s="58">
        <v>1.1725123088799938</v>
      </c>
      <c r="C413" s="57">
        <v>6889.7854707868355</v>
      </c>
      <c r="D413" s="57">
        <v>5876.0879682091272</v>
      </c>
    </row>
    <row r="414" spans="1:4" x14ac:dyDescent="0.2">
      <c r="A414">
        <v>377</v>
      </c>
      <c r="B414" s="58">
        <v>0.76531040212028856</v>
      </c>
      <c r="C414" s="57">
        <v>7628.8993623570686</v>
      </c>
      <c r="D414" s="57">
        <v>9968.372755970966</v>
      </c>
    </row>
    <row r="415" spans="1:4" x14ac:dyDescent="0.2">
      <c r="A415">
        <v>378</v>
      </c>
      <c r="B415" s="58">
        <v>0.78923778391687804</v>
      </c>
      <c r="C415" s="57">
        <v>6399.4744560807212</v>
      </c>
      <c r="D415" s="57">
        <v>8108.4238318153166</v>
      </c>
    </row>
    <row r="416" spans="1:4" x14ac:dyDescent="0.2">
      <c r="A416">
        <v>379</v>
      </c>
      <c r="B416" s="58">
        <v>0.36938284746030448</v>
      </c>
      <c r="C416" s="57">
        <v>7935.8270081930586</v>
      </c>
      <c r="D416" s="57">
        <v>21484.016008745177</v>
      </c>
    </row>
    <row r="417" spans="1:4" x14ac:dyDescent="0.2">
      <c r="A417">
        <v>380</v>
      </c>
      <c r="B417" s="58">
        <v>0.70841037217181491</v>
      </c>
      <c r="C417" s="57">
        <v>5428.392109028111</v>
      </c>
      <c r="D417" s="57">
        <v>7662.7789799095872</v>
      </c>
    </row>
    <row r="418" spans="1:4" x14ac:dyDescent="0.2">
      <c r="A418">
        <v>381</v>
      </c>
      <c r="B418" s="58">
        <v>1.0327003150412226</v>
      </c>
      <c r="C418" s="57">
        <v>9004.5695165743109</v>
      </c>
      <c r="D418" s="57">
        <v>8719.4410473428325</v>
      </c>
    </row>
    <row r="419" spans="1:4" x14ac:dyDescent="0.2">
      <c r="A419">
        <v>382</v>
      </c>
      <c r="B419" s="58">
        <v>0.77972388315737717</v>
      </c>
      <c r="C419" s="57">
        <v>7528.5646529035766</v>
      </c>
      <c r="D419" s="57">
        <v>9655.4239462535916</v>
      </c>
    </row>
    <row r="420" spans="1:4" x14ac:dyDescent="0.2">
      <c r="A420">
        <v>383</v>
      </c>
      <c r="B420" s="58">
        <v>1.0154494418153224</v>
      </c>
      <c r="C420" s="57">
        <v>9878.0142483642194</v>
      </c>
      <c r="D420" s="57">
        <v>9727.7263067920539</v>
      </c>
    </row>
    <row r="421" spans="1:4" x14ac:dyDescent="0.2">
      <c r="A421">
        <v>384</v>
      </c>
      <c r="B421" s="58">
        <v>0.98519445833576214</v>
      </c>
      <c r="C421" s="57">
        <v>7686.2921239095213</v>
      </c>
      <c r="D421" s="57">
        <v>7801.8020289046035</v>
      </c>
    </row>
    <row r="422" spans="1:4" x14ac:dyDescent="0.2">
      <c r="A422">
        <v>385</v>
      </c>
      <c r="B422" s="58">
        <v>0.78626813892071201</v>
      </c>
      <c r="C422" s="57">
        <v>6887.1854584029461</v>
      </c>
      <c r="D422" s="57">
        <v>8759.3342747638108</v>
      </c>
    </row>
    <row r="423" spans="1:4" x14ac:dyDescent="0.2">
      <c r="A423">
        <v>386</v>
      </c>
      <c r="B423" s="58">
        <v>0.76984460386931985</v>
      </c>
      <c r="C423" s="57">
        <v>7207.6050261703622</v>
      </c>
      <c r="D423" s="57">
        <v>9362.4154666333725</v>
      </c>
    </row>
    <row r="424" spans="1:4" x14ac:dyDescent="0.2">
      <c r="A424">
        <v>387</v>
      </c>
      <c r="B424" s="58">
        <v>0.94526730814798299</v>
      </c>
      <c r="C424" s="57">
        <v>7554.4680545852516</v>
      </c>
      <c r="D424" s="57">
        <v>7991.8854587136411</v>
      </c>
    </row>
    <row r="425" spans="1:4" x14ac:dyDescent="0.2">
      <c r="A425">
        <v>388</v>
      </c>
      <c r="B425" s="58">
        <v>0.96888243937115348</v>
      </c>
      <c r="C425" s="57">
        <v>4878.1575534096883</v>
      </c>
      <c r="D425" s="57">
        <v>5034.8291548929537</v>
      </c>
    </row>
    <row r="426" spans="1:4" x14ac:dyDescent="0.2">
      <c r="A426">
        <v>389</v>
      </c>
      <c r="B426" s="58">
        <v>0.86201727756897029</v>
      </c>
      <c r="C426" s="57">
        <v>7261.7618867857082</v>
      </c>
      <c r="D426" s="57">
        <v>8424.1488839586418</v>
      </c>
    </row>
    <row r="427" spans="1:4" x14ac:dyDescent="0.2">
      <c r="A427">
        <v>390</v>
      </c>
      <c r="B427" s="58">
        <v>0.88104417933933465</v>
      </c>
      <c r="C427" s="57">
        <v>4184.517339917018</v>
      </c>
      <c r="D427" s="57">
        <v>4749.4977414808491</v>
      </c>
    </row>
    <row r="428" spans="1:4" x14ac:dyDescent="0.2">
      <c r="A428">
        <v>391</v>
      </c>
      <c r="B428" s="58">
        <v>0.70301681788297188</v>
      </c>
      <c r="C428" s="57">
        <v>4154.4141365961041</v>
      </c>
      <c r="D428" s="57">
        <v>5909.4093212542057</v>
      </c>
    </row>
    <row r="429" spans="1:4" x14ac:dyDescent="0.2">
      <c r="A429">
        <v>392</v>
      </c>
      <c r="B429" s="59">
        <v>0.73496450332393515</v>
      </c>
      <c r="C429" s="60">
        <v>6327.9003835689327</v>
      </c>
      <c r="D429" s="60">
        <v>8609.8040857082251</v>
      </c>
    </row>
    <row r="430" spans="1:4" x14ac:dyDescent="0.2">
      <c r="A430">
        <v>393</v>
      </c>
      <c r="B430" s="58">
        <v>0.9154775069849741</v>
      </c>
      <c r="C430" s="57">
        <v>6268.8562582590876</v>
      </c>
      <c r="D430" s="57">
        <v>6847.6354803133127</v>
      </c>
    </row>
    <row r="431" spans="1:4" x14ac:dyDescent="0.2">
      <c r="A431">
        <v>394</v>
      </c>
      <c r="B431" s="58">
        <v>0.55470618880040412</v>
      </c>
      <c r="C431" s="57">
        <v>6327.7640386622534</v>
      </c>
      <c r="D431" s="57">
        <v>11407.415612842795</v>
      </c>
    </row>
    <row r="432" spans="1:4" x14ac:dyDescent="0.2">
      <c r="A432">
        <v>395</v>
      </c>
      <c r="B432" s="58">
        <v>0.78742697737775913</v>
      </c>
      <c r="C432" s="57">
        <v>7171.9184970813258</v>
      </c>
      <c r="D432" s="57">
        <v>9108.0426542722817</v>
      </c>
    </row>
    <row r="433" spans="1:4" x14ac:dyDescent="0.2">
      <c r="A433">
        <v>396</v>
      </c>
      <c r="B433" s="58">
        <v>0.83639761199937013</v>
      </c>
      <c r="C433" s="57">
        <v>6717.2640638692374</v>
      </c>
      <c r="D433" s="57">
        <v>8031.1851295365677</v>
      </c>
    </row>
    <row r="434" spans="1:4" x14ac:dyDescent="0.2">
      <c r="A434">
        <v>397</v>
      </c>
      <c r="B434" s="58">
        <v>1.1335421173486999</v>
      </c>
      <c r="C434" s="57">
        <v>6540.390763341873</v>
      </c>
      <c r="D434" s="57">
        <v>5769.8700941430652</v>
      </c>
    </row>
    <row r="435" spans="1:4" x14ac:dyDescent="0.2">
      <c r="A435">
        <v>398</v>
      </c>
      <c r="B435" s="58">
        <v>0.67108767968927197</v>
      </c>
      <c r="C435" s="57">
        <v>9114.3033033958473</v>
      </c>
      <c r="D435" s="57">
        <v>13581.38970397425</v>
      </c>
    </row>
    <row r="436" spans="1:4" x14ac:dyDescent="0.2">
      <c r="A436">
        <v>399</v>
      </c>
      <c r="B436" s="58">
        <v>0.90455257430587999</v>
      </c>
      <c r="C436" s="57">
        <v>7189.8886479885768</v>
      </c>
      <c r="D436" s="57">
        <v>7948.5580520356489</v>
      </c>
    </row>
    <row r="437" spans="1:4" x14ac:dyDescent="0.2">
      <c r="A437">
        <v>400</v>
      </c>
      <c r="B437" s="58">
        <v>0.84028866882701791</v>
      </c>
      <c r="C437" s="57">
        <v>6761.450941581872</v>
      </c>
      <c r="D437" s="57">
        <v>8046.5811243419093</v>
      </c>
    </row>
    <row r="438" spans="1:4" x14ac:dyDescent="0.2">
      <c r="A438">
        <v>401</v>
      </c>
      <c r="B438" s="58">
        <v>0.72205219000749743</v>
      </c>
      <c r="C438" s="57">
        <v>7110.2478976813254</v>
      </c>
      <c r="D438" s="57">
        <v>9847.276964297409</v>
      </c>
    </row>
    <row r="439" spans="1:4" x14ac:dyDescent="0.2">
      <c r="A439">
        <v>402</v>
      </c>
      <c r="B439" s="58">
        <v>0.99073558221932334</v>
      </c>
      <c r="C439" s="57">
        <v>6329.3893735855136</v>
      </c>
      <c r="D439" s="57">
        <v>6388.5758089027122</v>
      </c>
    </row>
    <row r="440" spans="1:4" x14ac:dyDescent="0.2">
      <c r="A440">
        <v>403</v>
      </c>
      <c r="B440" s="59">
        <v>0.89519261659765359</v>
      </c>
      <c r="C440" s="60">
        <v>6391.7724378539569</v>
      </c>
      <c r="D440" s="60">
        <v>7140.1085301028061</v>
      </c>
    </row>
    <row r="441" spans="1:4" x14ac:dyDescent="0.2">
      <c r="A441">
        <v>404</v>
      </c>
      <c r="B441" s="58">
        <v>0.8647598856086347</v>
      </c>
      <c r="C441" s="57">
        <v>6702.8498304206532</v>
      </c>
      <c r="D441" s="57">
        <v>7751.1109638290609</v>
      </c>
    </row>
    <row r="442" spans="1:4" x14ac:dyDescent="0.2">
      <c r="A442">
        <v>405</v>
      </c>
      <c r="B442" s="58">
        <v>0.6391529225181305</v>
      </c>
      <c r="C442" s="57">
        <v>6793.2784634207392</v>
      </c>
      <c r="D442" s="57">
        <v>10628.565127507554</v>
      </c>
    </row>
    <row r="443" spans="1:4" x14ac:dyDescent="0.2">
      <c r="A443">
        <v>406</v>
      </c>
      <c r="B443" s="58">
        <v>0.89196413562251919</v>
      </c>
      <c r="C443" s="57">
        <v>6685.2070005072837</v>
      </c>
      <c r="D443" s="57">
        <v>7494.9280285148989</v>
      </c>
    </row>
    <row r="444" spans="1:4" x14ac:dyDescent="0.2">
      <c r="A444">
        <v>407</v>
      </c>
      <c r="B444" s="58">
        <v>0.915686611262716</v>
      </c>
      <c r="C444" s="57">
        <v>7544.1291227410184</v>
      </c>
      <c r="D444" s="57">
        <v>8238.7675324178817</v>
      </c>
    </row>
    <row r="445" spans="1:4" x14ac:dyDescent="0.2">
      <c r="A445">
        <v>408</v>
      </c>
      <c r="B445" s="58">
        <v>0.93672324217283265</v>
      </c>
      <c r="C445" s="57">
        <v>6553.3016850738895</v>
      </c>
      <c r="D445" s="57">
        <v>6995.9849292014842</v>
      </c>
    </row>
    <row r="446" spans="1:4" x14ac:dyDescent="0.2">
      <c r="A446">
        <v>409</v>
      </c>
      <c r="B446" s="58">
        <v>0.8313203244316183</v>
      </c>
      <c r="C446" s="57">
        <v>6614.614166447509</v>
      </c>
      <c r="D446" s="57">
        <v>7956.7574279745704</v>
      </c>
    </row>
    <row r="447" spans="1:4" x14ac:dyDescent="0.2">
      <c r="A447">
        <v>410</v>
      </c>
      <c r="B447" s="58">
        <v>0.77992369611145129</v>
      </c>
      <c r="C447" s="57">
        <v>6907.2544010629972</v>
      </c>
      <c r="D447" s="57">
        <v>8856.3207343246941</v>
      </c>
    </row>
    <row r="448" spans="1:4" x14ac:dyDescent="0.2">
      <c r="A448">
        <v>411</v>
      </c>
      <c r="B448" s="58">
        <v>0.88018538947673797</v>
      </c>
      <c r="C448" s="57">
        <v>6772.0622540635904</v>
      </c>
      <c r="D448" s="57">
        <v>7693.9044149432184</v>
      </c>
    </row>
    <row r="449" spans="1:4" x14ac:dyDescent="0.2">
      <c r="A449">
        <v>412</v>
      </c>
      <c r="B449" s="58">
        <v>0.7564169791062314</v>
      </c>
      <c r="C449" s="57">
        <v>7561.8248825817736</v>
      </c>
      <c r="D449" s="57">
        <v>9996.8999790521484</v>
      </c>
    </row>
    <row r="450" spans="1:4" x14ac:dyDescent="0.2">
      <c r="A450">
        <v>413</v>
      </c>
      <c r="B450" s="58">
        <v>0.93809065753505649</v>
      </c>
      <c r="C450" s="57">
        <v>6853.4276672751676</v>
      </c>
      <c r="D450" s="57">
        <v>7305.7199879629488</v>
      </c>
    </row>
    <row r="451" spans="1:4" x14ac:dyDescent="0.2">
      <c r="A451">
        <v>414</v>
      </c>
      <c r="B451" s="58">
        <v>0.67843473411791066</v>
      </c>
      <c r="C451" s="57">
        <v>8108.8012213304446</v>
      </c>
      <c r="D451" s="57">
        <v>11952.220034655758</v>
      </c>
    </row>
    <row r="452" spans="1:4" x14ac:dyDescent="0.2">
      <c r="A452">
        <v>415</v>
      </c>
      <c r="B452" s="58">
        <v>0.72066962500470844</v>
      </c>
      <c r="C452" s="57">
        <v>7187.3514099192289</v>
      </c>
      <c r="D452" s="57">
        <v>9973.1571312892102</v>
      </c>
    </row>
    <row r="453" spans="1:4" x14ac:dyDescent="0.2">
      <c r="A453">
        <v>416</v>
      </c>
      <c r="B453" s="58">
        <v>0.68688938340546279</v>
      </c>
      <c r="C453" s="57">
        <v>9630.9687371145774</v>
      </c>
      <c r="D453" s="57">
        <v>14021.134945143749</v>
      </c>
    </row>
    <row r="454" spans="1:4" x14ac:dyDescent="0.2">
      <c r="A454">
        <v>417</v>
      </c>
      <c r="B454" s="58">
        <v>0.64084984116522037</v>
      </c>
      <c r="C454" s="57">
        <v>7465.5763111115684</v>
      </c>
      <c r="D454" s="57">
        <v>11649.493893198663</v>
      </c>
    </row>
    <row r="455" spans="1:4" x14ac:dyDescent="0.2">
      <c r="A455">
        <v>418</v>
      </c>
      <c r="B455" s="58">
        <v>0.73103858237104724</v>
      </c>
      <c r="C455" s="57">
        <v>6718.6207970084524</v>
      </c>
      <c r="D455" s="57">
        <v>9190.5146445448991</v>
      </c>
    </row>
    <row r="456" spans="1:4" x14ac:dyDescent="0.2">
      <c r="A456">
        <v>419</v>
      </c>
      <c r="B456" s="58">
        <v>0.94317320559457407</v>
      </c>
      <c r="C456" s="57">
        <v>5240.7299731634266</v>
      </c>
      <c r="D456" s="57">
        <v>5556.4873366601669</v>
      </c>
    </row>
    <row r="457" spans="1:4" x14ac:dyDescent="0.2">
      <c r="A457">
        <v>420</v>
      </c>
      <c r="B457" s="58">
        <v>0.73675065328954048</v>
      </c>
      <c r="C457" s="57">
        <v>5547.4195364867046</v>
      </c>
      <c r="D457" s="57">
        <v>7529.5753206568079</v>
      </c>
    </row>
    <row r="458" spans="1:4" x14ac:dyDescent="0.2">
      <c r="A458">
        <v>421</v>
      </c>
      <c r="B458" s="58">
        <v>0.67432354535226668</v>
      </c>
      <c r="C458" s="57">
        <v>7923.5079046553292</v>
      </c>
      <c r="D458" s="57">
        <v>11750.305857281148</v>
      </c>
    </row>
    <row r="459" spans="1:4" x14ac:dyDescent="0.2">
      <c r="A459">
        <v>422</v>
      </c>
      <c r="B459" s="58">
        <v>0.91058115223110736</v>
      </c>
      <c r="C459" s="57">
        <v>6366.6068197049353</v>
      </c>
      <c r="D459" s="57">
        <v>6991.806061552521</v>
      </c>
    </row>
    <row r="460" spans="1:4" x14ac:dyDescent="0.2">
      <c r="A460">
        <v>423</v>
      </c>
      <c r="B460" s="58">
        <v>0.88242875197162896</v>
      </c>
      <c r="C460" s="57">
        <v>6337.6734453580721</v>
      </c>
      <c r="D460" s="57">
        <v>7182.0794950274185</v>
      </c>
    </row>
    <row r="461" spans="1:4" x14ac:dyDescent="0.2">
      <c r="A461">
        <v>424</v>
      </c>
      <c r="B461" s="58">
        <v>1.1287931180006892</v>
      </c>
      <c r="C461" s="57">
        <v>5666.8661851439174</v>
      </c>
      <c r="D461" s="57">
        <v>5020.2876813964222</v>
      </c>
    </row>
    <row r="462" spans="1:4" x14ac:dyDescent="0.2">
      <c r="A462">
        <v>425</v>
      </c>
      <c r="B462" s="58">
        <v>0.84403103917681221</v>
      </c>
      <c r="C462" s="57">
        <v>6370.4953999529753</v>
      </c>
      <c r="D462" s="57">
        <v>7547.7027552993213</v>
      </c>
    </row>
    <row r="463" spans="1:4" x14ac:dyDescent="0.2">
      <c r="A463">
        <v>426</v>
      </c>
      <c r="B463" s="58">
        <v>0.81793318946393523</v>
      </c>
      <c r="C463" s="57">
        <v>6163.3204509074712</v>
      </c>
      <c r="D463" s="57">
        <v>7535.2370221666224</v>
      </c>
    </row>
    <row r="464" spans="1:4" x14ac:dyDescent="0.2">
      <c r="A464">
        <v>427</v>
      </c>
      <c r="B464" s="58">
        <v>0.91559724063514469</v>
      </c>
      <c r="C464" s="57">
        <v>8393.1784932293413</v>
      </c>
      <c r="D464" s="57">
        <v>9166.8892398660355</v>
      </c>
    </row>
    <row r="465" spans="1:4" x14ac:dyDescent="0.2">
      <c r="A465">
        <v>428</v>
      </c>
      <c r="B465" s="59">
        <v>0.82303906430774454</v>
      </c>
      <c r="C465" s="60">
        <v>6545.3418001305181</v>
      </c>
      <c r="D465" s="60">
        <v>7952.6502252183909</v>
      </c>
    </row>
    <row r="466" spans="1:4" x14ac:dyDescent="0.2">
      <c r="A466">
        <v>429</v>
      </c>
      <c r="B466" s="58">
        <v>1.0440344580573671</v>
      </c>
      <c r="C466" s="57">
        <v>7102.54324408703</v>
      </c>
      <c r="D466" s="57">
        <v>6802.9778033406283</v>
      </c>
    </row>
    <row r="467" spans="1:4" x14ac:dyDescent="0.2">
      <c r="A467">
        <v>430</v>
      </c>
      <c r="B467" s="58">
        <v>0.86008114815726699</v>
      </c>
      <c r="C467" s="57">
        <v>8758.6383792847409</v>
      </c>
      <c r="D467" s="57">
        <v>10183.502333530059</v>
      </c>
    </row>
    <row r="468" spans="1:4" x14ac:dyDescent="0.2">
      <c r="A468">
        <v>431</v>
      </c>
      <c r="B468" s="58">
        <v>0.81731248358329811</v>
      </c>
      <c r="C468" s="57">
        <v>5513.5024842617058</v>
      </c>
      <c r="D468" s="57">
        <v>6745.8929051091454</v>
      </c>
    </row>
    <row r="469" spans="1:4" x14ac:dyDescent="0.2">
      <c r="A469">
        <v>432</v>
      </c>
      <c r="B469" s="58">
        <v>0.71049100973887036</v>
      </c>
      <c r="C469" s="57">
        <v>8164.724493216032</v>
      </c>
      <c r="D469" s="57">
        <v>11491.664751981656</v>
      </c>
    </row>
    <row r="470" spans="1:4" x14ac:dyDescent="0.2">
      <c r="A470">
        <v>433</v>
      </c>
      <c r="B470" s="58">
        <v>0.96382196219657601</v>
      </c>
      <c r="C470" s="57">
        <v>7192.0532324733285</v>
      </c>
      <c r="D470" s="57">
        <v>7462.014266703829</v>
      </c>
    </row>
    <row r="471" spans="1:4" x14ac:dyDescent="0.2">
      <c r="A471">
        <v>434</v>
      </c>
      <c r="B471" s="58">
        <v>0.73056355606619849</v>
      </c>
      <c r="C471" s="57">
        <v>6385.5455388367754</v>
      </c>
      <c r="D471" s="57">
        <v>8740.5749791578201</v>
      </c>
    </row>
    <row r="472" spans="1:4" x14ac:dyDescent="0.2">
      <c r="A472">
        <v>435</v>
      </c>
      <c r="B472" s="58">
        <v>0.97055905916076934</v>
      </c>
      <c r="C472" s="57">
        <v>6189.8052881649073</v>
      </c>
      <c r="D472" s="57">
        <v>6377.5668566909844</v>
      </c>
    </row>
    <row r="473" spans="1:4" x14ac:dyDescent="0.2">
      <c r="A473">
        <v>436</v>
      </c>
      <c r="B473" s="58">
        <v>0.67569772186210919</v>
      </c>
      <c r="C473" s="57">
        <v>5216.1284808384917</v>
      </c>
      <c r="D473" s="57">
        <v>7719.6182731883709</v>
      </c>
    </row>
    <row r="474" spans="1:4" x14ac:dyDescent="0.2">
      <c r="A474">
        <v>437</v>
      </c>
      <c r="B474" s="58">
        <v>0.70063716838535939</v>
      </c>
      <c r="C474" s="57">
        <v>6342.8897511067244</v>
      </c>
      <c r="D474" s="57">
        <v>9053.0306374183874</v>
      </c>
    </row>
    <row r="475" spans="1:4" x14ac:dyDescent="0.2">
      <c r="A475">
        <v>438</v>
      </c>
      <c r="B475" s="58">
        <v>1.0366573965527923</v>
      </c>
      <c r="C475" s="57">
        <v>7343.1295604996858</v>
      </c>
      <c r="D475" s="57">
        <v>7083.468062754263</v>
      </c>
    </row>
    <row r="476" spans="1:4" x14ac:dyDescent="0.2">
      <c r="A476">
        <v>439</v>
      </c>
      <c r="B476" s="58">
        <v>0.97796886734136557</v>
      </c>
      <c r="C476" s="57">
        <v>5989.9527811063053</v>
      </c>
      <c r="D476" s="57">
        <v>6124.8910687618836</v>
      </c>
    </row>
    <row r="477" spans="1:4" x14ac:dyDescent="0.2">
      <c r="A477">
        <v>440</v>
      </c>
      <c r="B477" s="58">
        <v>0.99990833727243178</v>
      </c>
      <c r="C477" s="57">
        <v>6546.3167081278771</v>
      </c>
      <c r="D477" s="57">
        <v>6546.9168163804288</v>
      </c>
    </row>
    <row r="478" spans="1:4" x14ac:dyDescent="0.2">
      <c r="A478">
        <v>441</v>
      </c>
      <c r="B478" s="58">
        <v>0.8851023492350425</v>
      </c>
      <c r="C478" s="57">
        <v>7225.3336712070941</v>
      </c>
      <c r="D478" s="57">
        <v>8163.2747641576734</v>
      </c>
    </row>
    <row r="479" spans="1:4" x14ac:dyDescent="0.2">
      <c r="A479">
        <v>442</v>
      </c>
      <c r="B479" s="58">
        <v>0.87301275639419895</v>
      </c>
      <c r="C479" s="57">
        <v>6647.3541278099419</v>
      </c>
      <c r="D479" s="57">
        <v>7614.2691834945017</v>
      </c>
    </row>
    <row r="480" spans="1:4" x14ac:dyDescent="0.2">
      <c r="A480">
        <v>443</v>
      </c>
      <c r="B480" s="58">
        <v>0.78465728587984884</v>
      </c>
      <c r="C480" s="57">
        <v>7900.3451281732559</v>
      </c>
      <c r="D480" s="57">
        <v>10068.529624770477</v>
      </c>
    </row>
    <row r="481" spans="1:4" x14ac:dyDescent="0.2">
      <c r="A481">
        <v>444</v>
      </c>
      <c r="B481" s="58">
        <v>1.006035142860326</v>
      </c>
      <c r="C481" s="57">
        <v>6895.7073451080814</v>
      </c>
      <c r="D481" s="57">
        <v>6854.3404214513157</v>
      </c>
    </row>
    <row r="482" spans="1:4" x14ac:dyDescent="0.2">
      <c r="A482">
        <v>445</v>
      </c>
      <c r="B482" s="58">
        <v>0.76906736486918525</v>
      </c>
      <c r="C482" s="57">
        <v>6955.2915490645519</v>
      </c>
      <c r="D482" s="57">
        <v>9043.8001490904699</v>
      </c>
    </row>
    <row r="483" spans="1:4" x14ac:dyDescent="0.2">
      <c r="A483">
        <v>446</v>
      </c>
      <c r="B483" s="58">
        <v>0.60099765646536429</v>
      </c>
      <c r="C483" s="57">
        <v>6555.4128088166381</v>
      </c>
      <c r="D483" s="57">
        <v>10907.551366124884</v>
      </c>
    </row>
    <row r="484" spans="1:4" x14ac:dyDescent="0.2">
      <c r="A484">
        <v>447</v>
      </c>
      <c r="B484" s="58">
        <v>0.76468055058516882</v>
      </c>
      <c r="C484" s="57">
        <v>6952.0451799212951</v>
      </c>
      <c r="D484" s="57">
        <v>9091.4371688952597</v>
      </c>
    </row>
    <row r="485" spans="1:4" x14ac:dyDescent="0.2">
      <c r="A485">
        <v>448</v>
      </c>
      <c r="B485" s="58">
        <v>1.0030846178251069</v>
      </c>
      <c r="C485" s="57">
        <v>6395.363349313935</v>
      </c>
      <c r="D485" s="57">
        <v>6375.6967614361329</v>
      </c>
    </row>
    <row r="486" spans="1:4" x14ac:dyDescent="0.2">
      <c r="A486">
        <v>449</v>
      </c>
      <c r="B486" s="58">
        <v>0.99424976595996917</v>
      </c>
      <c r="C486" s="57">
        <v>7129.6540786485311</v>
      </c>
      <c r="D486" s="57">
        <v>7170.8883650223434</v>
      </c>
    </row>
    <row r="487" spans="1:4" x14ac:dyDescent="0.2">
      <c r="A487">
        <v>450</v>
      </c>
      <c r="B487" s="58">
        <v>1.1759134894168826</v>
      </c>
      <c r="C487" s="57">
        <v>7653.4334983665467</v>
      </c>
      <c r="D487" s="57">
        <v>6508.5004698447392</v>
      </c>
    </row>
    <row r="488" spans="1:4" x14ac:dyDescent="0.2">
      <c r="A488">
        <v>451</v>
      </c>
      <c r="B488" s="58">
        <v>0.78311418907134467</v>
      </c>
      <c r="C488" s="57">
        <v>6710.3474904539125</v>
      </c>
      <c r="D488" s="57">
        <v>8568.7982469215276</v>
      </c>
    </row>
    <row r="489" spans="1:4" x14ac:dyDescent="0.2">
      <c r="A489">
        <v>452</v>
      </c>
      <c r="B489" s="58">
        <v>1.0659647208517375</v>
      </c>
      <c r="C489" s="57">
        <v>5450.4639543290104</v>
      </c>
      <c r="D489" s="57">
        <v>5113.174805610759</v>
      </c>
    </row>
    <row r="490" spans="1:4" x14ac:dyDescent="0.2">
      <c r="A490">
        <v>453</v>
      </c>
      <c r="B490" s="58">
        <v>0.64899998748730603</v>
      </c>
      <c r="C490" s="57">
        <v>7303.3989684732878</v>
      </c>
      <c r="D490" s="57">
        <v>11253.311416459985</v>
      </c>
    </row>
    <row r="491" spans="1:4" x14ac:dyDescent="0.2">
      <c r="A491">
        <v>454</v>
      </c>
      <c r="B491" s="58">
        <v>0.69080117795749274</v>
      </c>
      <c r="C491" s="57">
        <v>8332.3768474836506</v>
      </c>
      <c r="D491" s="57">
        <v>12061.903067565945</v>
      </c>
    </row>
    <row r="492" spans="1:4" x14ac:dyDescent="0.2">
      <c r="A492">
        <v>455</v>
      </c>
      <c r="B492" s="58">
        <v>0.73444867194779828</v>
      </c>
      <c r="C492" s="57">
        <v>6601.7217890610318</v>
      </c>
      <c r="D492" s="57">
        <v>8988.6768690763674</v>
      </c>
    </row>
    <row r="493" spans="1:4" x14ac:dyDescent="0.2">
      <c r="A493">
        <v>456</v>
      </c>
      <c r="B493" s="58">
        <v>0.75704782889061484</v>
      </c>
      <c r="C493" s="57">
        <v>8203.636970495776</v>
      </c>
      <c r="D493" s="57">
        <v>10836.352285056368</v>
      </c>
    </row>
    <row r="494" spans="1:4" x14ac:dyDescent="0.2">
      <c r="A494">
        <v>457</v>
      </c>
      <c r="B494" s="58">
        <v>0.64671732652978164</v>
      </c>
      <c r="C494" s="57">
        <v>5627.1464689639906</v>
      </c>
      <c r="D494" s="57">
        <v>8701.0912467100225</v>
      </c>
    </row>
    <row r="495" spans="1:4" x14ac:dyDescent="0.2">
      <c r="A495">
        <v>458</v>
      </c>
      <c r="B495" s="58">
        <v>1.173922326285628</v>
      </c>
      <c r="C495" s="57">
        <v>6243.7097371143846</v>
      </c>
      <c r="D495" s="57">
        <v>5318.6736441668309</v>
      </c>
    </row>
    <row r="496" spans="1:4" x14ac:dyDescent="0.2">
      <c r="A496">
        <v>459</v>
      </c>
      <c r="B496" s="58">
        <v>1.1765675178957791</v>
      </c>
      <c r="C496" s="57">
        <v>4433.0702593468159</v>
      </c>
      <c r="D496" s="57">
        <v>3767.7992906646768</v>
      </c>
    </row>
    <row r="497" spans="1:4" x14ac:dyDescent="0.2">
      <c r="A497">
        <v>460</v>
      </c>
      <c r="B497" s="58">
        <v>0.67198643124608104</v>
      </c>
      <c r="C497" s="57">
        <v>8907.4806957170749</v>
      </c>
      <c r="D497" s="57">
        <v>13255.44725538537</v>
      </c>
    </row>
    <row r="498" spans="1:4" x14ac:dyDescent="0.2">
      <c r="A498">
        <v>461</v>
      </c>
      <c r="B498" s="58">
        <v>1.097031046069584</v>
      </c>
      <c r="C498" s="57">
        <v>5995.6683413460942</v>
      </c>
      <c r="D498" s="57">
        <v>5465.3588545440243</v>
      </c>
    </row>
    <row r="499" spans="1:4" x14ac:dyDescent="0.2">
      <c r="A499">
        <v>462</v>
      </c>
      <c r="B499" s="58">
        <v>0.69407595782874232</v>
      </c>
      <c r="C499" s="57">
        <v>8064.6446106141921</v>
      </c>
      <c r="D499" s="57">
        <v>11619.253656102115</v>
      </c>
    </row>
    <row r="500" spans="1:4" x14ac:dyDescent="0.2">
      <c r="A500">
        <v>463</v>
      </c>
      <c r="B500" s="58">
        <v>0.78831569125864753</v>
      </c>
      <c r="C500" s="57">
        <v>9130.5415673361586</v>
      </c>
      <c r="D500" s="57">
        <v>11582.34152710835</v>
      </c>
    </row>
    <row r="501" spans="1:4" x14ac:dyDescent="0.2">
      <c r="A501">
        <v>464</v>
      </c>
      <c r="B501" s="58">
        <v>0.74439061521321914</v>
      </c>
      <c r="C501" s="57">
        <v>5516.7636258086968</v>
      </c>
      <c r="D501" s="57">
        <v>7411.1138870665445</v>
      </c>
    </row>
    <row r="502" spans="1:4" x14ac:dyDescent="0.2">
      <c r="A502">
        <v>465</v>
      </c>
      <c r="B502" s="58">
        <v>1.0730137788024772</v>
      </c>
      <c r="C502" s="57">
        <v>6761.7601012756859</v>
      </c>
      <c r="D502" s="57">
        <v>6301.6526300548148</v>
      </c>
    </row>
    <row r="503" spans="1:4" x14ac:dyDescent="0.2">
      <c r="A503">
        <v>466</v>
      </c>
      <c r="B503" s="58">
        <v>0.79002395238648049</v>
      </c>
      <c r="C503" s="57">
        <v>7912.8800958229685</v>
      </c>
      <c r="D503" s="57">
        <v>10016.000238878807</v>
      </c>
    </row>
    <row r="504" spans="1:4" x14ac:dyDescent="0.2">
      <c r="A504">
        <v>467</v>
      </c>
      <c r="B504" s="58">
        <v>0.84354122308759472</v>
      </c>
      <c r="C504" s="57">
        <v>5898.6431553633083</v>
      </c>
      <c r="D504" s="57">
        <v>6992.7147528992591</v>
      </c>
    </row>
    <row r="505" spans="1:4" x14ac:dyDescent="0.2">
      <c r="A505">
        <v>468</v>
      </c>
      <c r="B505" s="58">
        <v>0.86584119764843592</v>
      </c>
      <c r="C505" s="57">
        <v>6479.7943556300088</v>
      </c>
      <c r="D505" s="57">
        <v>7483.8138601266337</v>
      </c>
    </row>
    <row r="506" spans="1:4" x14ac:dyDescent="0.2">
      <c r="A506">
        <v>469</v>
      </c>
      <c r="B506" s="58">
        <v>0.59328900020888398</v>
      </c>
      <c r="C506" s="57">
        <v>5946.7074844345825</v>
      </c>
      <c r="D506" s="57">
        <v>10023.2896317661</v>
      </c>
    </row>
    <row r="507" spans="1:4" x14ac:dyDescent="0.2">
      <c r="A507">
        <v>470</v>
      </c>
      <c r="B507" s="58">
        <v>0.88865762207417909</v>
      </c>
      <c r="C507" s="57">
        <v>7438.8991357192426</v>
      </c>
      <c r="D507" s="57">
        <v>8370.9394382466617</v>
      </c>
    </row>
    <row r="508" spans="1:4" x14ac:dyDescent="0.2">
      <c r="A508">
        <v>471</v>
      </c>
      <c r="B508" s="58">
        <v>0.77663361371936901</v>
      </c>
      <c r="C508" s="57">
        <v>8375.5459523033023</v>
      </c>
      <c r="D508" s="57">
        <v>10784.423702950548</v>
      </c>
    </row>
    <row r="509" spans="1:4" x14ac:dyDescent="0.2">
      <c r="A509">
        <v>472</v>
      </c>
      <c r="B509" s="59">
        <v>1.2699536201747659</v>
      </c>
      <c r="C509" s="60">
        <v>7242.6877266513757</v>
      </c>
      <c r="D509" s="60">
        <v>5703.1119968417952</v>
      </c>
    </row>
    <row r="510" spans="1:4" x14ac:dyDescent="0.2">
      <c r="A510">
        <v>473</v>
      </c>
      <c r="B510" s="58">
        <v>0.85781838555201162</v>
      </c>
      <c r="C510" s="57">
        <v>4870.3500958405384</v>
      </c>
      <c r="D510" s="57">
        <v>5677.6005013070881</v>
      </c>
    </row>
    <row r="511" spans="1:4" x14ac:dyDescent="0.2">
      <c r="A511">
        <v>474</v>
      </c>
      <c r="B511" s="58">
        <v>0.62957731824079488</v>
      </c>
      <c r="C511" s="57">
        <v>6977.8383025760886</v>
      </c>
      <c r="D511" s="57">
        <v>11083.369906136406</v>
      </c>
    </row>
    <row r="512" spans="1:4" x14ac:dyDescent="0.2">
      <c r="A512">
        <v>475</v>
      </c>
      <c r="B512" s="58">
        <v>0.80588365708976628</v>
      </c>
      <c r="C512" s="57">
        <v>6289.1464267558313</v>
      </c>
      <c r="D512" s="57">
        <v>7804.037681403548</v>
      </c>
    </row>
    <row r="513" spans="1:4" x14ac:dyDescent="0.2">
      <c r="A513">
        <v>476</v>
      </c>
      <c r="B513" s="58">
        <v>0.77051933155054009</v>
      </c>
      <c r="C513" s="57">
        <v>6891.4913029392228</v>
      </c>
      <c r="D513" s="57">
        <v>8943.956395060537</v>
      </c>
    </row>
    <row r="514" spans="1:4" x14ac:dyDescent="0.2">
      <c r="A514">
        <v>477</v>
      </c>
      <c r="B514" s="58">
        <v>0.97152265216224443</v>
      </c>
      <c r="C514" s="57">
        <v>7364.2389836734419</v>
      </c>
      <c r="D514" s="57">
        <v>7580.1001317708988</v>
      </c>
    </row>
    <row r="515" spans="1:4" x14ac:dyDescent="0.2">
      <c r="A515">
        <v>478</v>
      </c>
      <c r="B515" s="58">
        <v>0.78856466120145896</v>
      </c>
      <c r="C515" s="57">
        <v>5531.4257683747255</v>
      </c>
      <c r="D515" s="57">
        <v>7014.5493965542819</v>
      </c>
    </row>
    <row r="516" spans="1:4" x14ac:dyDescent="0.2">
      <c r="A516">
        <v>479</v>
      </c>
      <c r="B516" s="58">
        <v>1.1322681977016842</v>
      </c>
      <c r="C516" s="57">
        <v>7411.8250924362419</v>
      </c>
      <c r="D516" s="57">
        <v>6545.9977657952522</v>
      </c>
    </row>
    <row r="517" spans="1:4" x14ac:dyDescent="0.2">
      <c r="A517">
        <v>480</v>
      </c>
      <c r="B517" s="58">
        <v>0.83226183833904344</v>
      </c>
      <c r="C517" s="57">
        <v>5921.7007753180187</v>
      </c>
      <c r="D517" s="57">
        <v>7115.1895984273888</v>
      </c>
    </row>
    <row r="518" spans="1:4" x14ac:dyDescent="0.2">
      <c r="A518">
        <v>481</v>
      </c>
      <c r="B518" s="58">
        <v>0.72121986279535388</v>
      </c>
      <c r="C518" s="57">
        <v>5820.6716785159788</v>
      </c>
      <c r="D518" s="57">
        <v>8070.5925873364286</v>
      </c>
    </row>
    <row r="519" spans="1:4" x14ac:dyDescent="0.2">
      <c r="A519">
        <v>482</v>
      </c>
      <c r="B519" s="58">
        <v>1.0027375798100273</v>
      </c>
      <c r="C519" s="57">
        <v>8488.4221225854362</v>
      </c>
      <c r="D519" s="57">
        <v>8465.2478310363131</v>
      </c>
    </row>
    <row r="520" spans="1:4" x14ac:dyDescent="0.2">
      <c r="A520">
        <v>483</v>
      </c>
      <c r="B520" s="58">
        <v>0.70195170470884172</v>
      </c>
      <c r="C520" s="57">
        <v>5582.9011102769273</v>
      </c>
      <c r="D520" s="57">
        <v>7953.3977520470944</v>
      </c>
    </row>
    <row r="521" spans="1:4" x14ac:dyDescent="0.2">
      <c r="A521">
        <v>484</v>
      </c>
      <c r="B521" s="58">
        <v>0.67199055093246862</v>
      </c>
      <c r="C521" s="57">
        <v>8128.4749275839258</v>
      </c>
      <c r="D521" s="57">
        <v>12096.114917545608</v>
      </c>
    </row>
    <row r="522" spans="1:4" x14ac:dyDescent="0.2">
      <c r="A522">
        <v>485</v>
      </c>
      <c r="B522" s="58">
        <v>0.80352712798786463</v>
      </c>
      <c r="C522" s="57">
        <v>7470.6840310381594</v>
      </c>
      <c r="D522" s="57">
        <v>9297.3637987129496</v>
      </c>
    </row>
    <row r="523" spans="1:4" x14ac:dyDescent="0.2">
      <c r="A523">
        <v>486</v>
      </c>
      <c r="B523" s="58">
        <v>1.1440814824500514</v>
      </c>
      <c r="C523" s="57">
        <v>8273.2225335037438</v>
      </c>
      <c r="D523" s="57">
        <v>7231.3228213314242</v>
      </c>
    </row>
    <row r="524" spans="1:4" x14ac:dyDescent="0.2">
      <c r="A524">
        <v>487</v>
      </c>
      <c r="B524" s="58">
        <v>0.91541313263409485</v>
      </c>
      <c r="C524" s="57">
        <v>6713.3357317718237</v>
      </c>
      <c r="D524" s="57">
        <v>7333.6677096320955</v>
      </c>
    </row>
    <row r="525" spans="1:4" x14ac:dyDescent="0.2">
      <c r="A525">
        <v>488</v>
      </c>
      <c r="B525" s="58">
        <v>0.77647157928795618</v>
      </c>
      <c r="C525" s="57">
        <v>4770.6042682448588</v>
      </c>
      <c r="D525" s="57">
        <v>6143.952200568142</v>
      </c>
    </row>
    <row r="526" spans="1:4" x14ac:dyDescent="0.2">
      <c r="A526">
        <v>489</v>
      </c>
      <c r="B526" s="58">
        <v>0.93198789222956346</v>
      </c>
      <c r="C526" s="57">
        <v>6384.5362295229479</v>
      </c>
      <c r="D526" s="57">
        <v>6850.4497566480559</v>
      </c>
    </row>
    <row r="527" spans="1:4" x14ac:dyDescent="0.2">
      <c r="A527">
        <v>490</v>
      </c>
      <c r="B527" s="58">
        <v>0.90897231449059657</v>
      </c>
      <c r="C527" s="57">
        <v>7369.2202290705391</v>
      </c>
      <c r="D527" s="57">
        <v>8107.1998691185381</v>
      </c>
    </row>
    <row r="528" spans="1:4" x14ac:dyDescent="0.2">
      <c r="A528">
        <v>491</v>
      </c>
      <c r="B528" s="58">
        <v>0.78926352170981673</v>
      </c>
      <c r="C528" s="57">
        <v>8150.9556573211557</v>
      </c>
      <c r="D528" s="57">
        <v>10327.293018260083</v>
      </c>
    </row>
    <row r="529" spans="1:4" x14ac:dyDescent="0.2">
      <c r="A529">
        <v>492</v>
      </c>
      <c r="B529" s="58">
        <v>0.7807471426784689</v>
      </c>
      <c r="C529" s="57">
        <v>7382.9648784114988</v>
      </c>
      <c r="D529" s="57">
        <v>9456.2816497581316</v>
      </c>
    </row>
    <row r="530" spans="1:4" x14ac:dyDescent="0.2">
      <c r="A530">
        <v>493</v>
      </c>
      <c r="B530" s="58">
        <v>0.9122701157007036</v>
      </c>
      <c r="C530" s="57">
        <v>5898.9099864570835</v>
      </c>
      <c r="D530" s="57">
        <v>6466.18790304909</v>
      </c>
    </row>
    <row r="531" spans="1:4" x14ac:dyDescent="0.2">
      <c r="A531">
        <v>494</v>
      </c>
      <c r="B531" s="58">
        <v>0.75644290154325144</v>
      </c>
      <c r="C531" s="57">
        <v>6977.5780556476329</v>
      </c>
      <c r="D531" s="57">
        <v>9224.1966200124007</v>
      </c>
    </row>
    <row r="532" spans="1:4" x14ac:dyDescent="0.2">
      <c r="A532">
        <v>495</v>
      </c>
      <c r="B532" s="58">
        <v>1.3162896143385732</v>
      </c>
      <c r="C532" s="57">
        <v>6943.3036689963337</v>
      </c>
      <c r="D532" s="57">
        <v>5274.9057603750052</v>
      </c>
    </row>
    <row r="533" spans="1:4" x14ac:dyDescent="0.2">
      <c r="A533">
        <v>496</v>
      </c>
      <c r="B533" s="59">
        <v>0.90837084812378954</v>
      </c>
      <c r="C533" s="60">
        <v>7074.6646313595193</v>
      </c>
      <c r="D533" s="60">
        <v>7788.2999503693991</v>
      </c>
    </row>
    <row r="534" spans="1:4" x14ac:dyDescent="0.2">
      <c r="A534">
        <v>497</v>
      </c>
      <c r="B534" s="58">
        <v>0.91775462917991479</v>
      </c>
      <c r="C534" s="57">
        <v>6634.4577216784364</v>
      </c>
      <c r="D534" s="57">
        <v>7229.010359345004</v>
      </c>
    </row>
    <row r="535" spans="1:4" x14ac:dyDescent="0.2">
      <c r="A535">
        <v>498</v>
      </c>
      <c r="B535" s="58">
        <v>0.74828256965465378</v>
      </c>
      <c r="C535" s="57">
        <v>8908.9505158204629</v>
      </c>
      <c r="D535" s="57">
        <v>11905.864010613141</v>
      </c>
    </row>
    <row r="536" spans="1:4" x14ac:dyDescent="0.2">
      <c r="A536">
        <v>499</v>
      </c>
      <c r="B536" s="58">
        <v>1.2799692339912614</v>
      </c>
      <c r="C536" s="57">
        <v>6047.7836535098259</v>
      </c>
      <c r="D536" s="57">
        <v>4724.9445478086509</v>
      </c>
    </row>
    <row r="537" spans="1:4" x14ac:dyDescent="0.2">
      <c r="A537">
        <v>500</v>
      </c>
      <c r="B537" s="58">
        <v>0.7929409930052298</v>
      </c>
      <c r="C537" s="57">
        <v>6879.3729422809174</v>
      </c>
      <c r="D537" s="57">
        <v>8675.7690710480711</v>
      </c>
    </row>
    <row r="538" spans="1:4" x14ac:dyDescent="0.2">
      <c r="A538">
        <v>501</v>
      </c>
      <c r="B538" s="58">
        <v>0.9498980327218387</v>
      </c>
      <c r="C538" s="57">
        <v>5138.2188199471493</v>
      </c>
      <c r="D538" s="57">
        <v>5409.2319837994528</v>
      </c>
    </row>
    <row r="539" spans="1:4" x14ac:dyDescent="0.2">
      <c r="A539">
        <v>502</v>
      </c>
      <c r="B539" s="58">
        <v>0.96024428180154686</v>
      </c>
      <c r="C539" s="57">
        <v>6815.3118857290065</v>
      </c>
      <c r="D539" s="57">
        <v>7097.4771887655179</v>
      </c>
    </row>
    <row r="540" spans="1:4" x14ac:dyDescent="0.2">
      <c r="A540">
        <v>503</v>
      </c>
      <c r="B540" s="58">
        <v>1.0143830607439481</v>
      </c>
      <c r="C540" s="57">
        <v>7857.1237758608677</v>
      </c>
      <c r="D540" s="57">
        <v>7745.7166625973196</v>
      </c>
    </row>
    <row r="541" spans="1:4" x14ac:dyDescent="0.2">
      <c r="A541">
        <v>504</v>
      </c>
      <c r="B541" s="58">
        <v>0.66518604245521029</v>
      </c>
      <c r="C541" s="57">
        <v>7032.8486239828935</v>
      </c>
      <c r="D541" s="57">
        <v>10572.754350083111</v>
      </c>
    </row>
    <row r="542" spans="1:4" x14ac:dyDescent="0.2">
      <c r="A542">
        <v>505</v>
      </c>
      <c r="B542" s="58">
        <v>0.96084952854801831</v>
      </c>
      <c r="C542" s="57">
        <v>6963.1707010226091</v>
      </c>
      <c r="D542" s="57">
        <v>7246.8898554230036</v>
      </c>
    </row>
    <row r="543" spans="1:4" x14ac:dyDescent="0.2">
      <c r="A543">
        <v>506</v>
      </c>
      <c r="B543" s="59">
        <v>0.99788514482383306</v>
      </c>
      <c r="C543" s="60">
        <v>6635.2984740444972</v>
      </c>
      <c r="D543" s="60">
        <v>6649.3609093819059</v>
      </c>
    </row>
    <row r="544" spans="1:4" x14ac:dyDescent="0.2">
      <c r="A544">
        <v>507</v>
      </c>
      <c r="B544" s="58">
        <v>0.67036170904684589</v>
      </c>
      <c r="C544" s="57">
        <v>8793.253756726197</v>
      </c>
      <c r="D544" s="57">
        <v>13117.17784303177</v>
      </c>
    </row>
    <row r="545" spans="1:4" x14ac:dyDescent="0.2">
      <c r="A545">
        <v>508</v>
      </c>
      <c r="B545" s="58">
        <v>0.91103003293601326</v>
      </c>
      <c r="C545" s="57">
        <v>5333.2771818517849</v>
      </c>
      <c r="D545" s="57">
        <v>5854.1178545607518</v>
      </c>
    </row>
    <row r="546" spans="1:4" x14ac:dyDescent="0.2">
      <c r="A546">
        <v>509</v>
      </c>
      <c r="B546" s="58">
        <v>0.8423164703744197</v>
      </c>
      <c r="C546" s="57">
        <v>5988.8249002060911</v>
      </c>
      <c r="D546" s="57">
        <v>7109.9463335247228</v>
      </c>
    </row>
    <row r="547" spans="1:4" x14ac:dyDescent="0.2">
      <c r="A547">
        <v>510</v>
      </c>
      <c r="B547" s="58">
        <v>0.8458222686337038</v>
      </c>
      <c r="C547" s="57">
        <v>5487.6827141505892</v>
      </c>
      <c r="D547" s="57">
        <v>6487.9856178474693</v>
      </c>
    </row>
    <row r="548" spans="1:4" x14ac:dyDescent="0.2">
      <c r="A548">
        <v>511</v>
      </c>
      <c r="B548" s="58">
        <v>0.66516878373745314</v>
      </c>
      <c r="C548" s="57">
        <v>7830.1927659930589</v>
      </c>
      <c r="D548" s="57">
        <v>11771.738177484425</v>
      </c>
    </row>
    <row r="549" spans="1:4" x14ac:dyDescent="0.2">
      <c r="A549">
        <v>512</v>
      </c>
      <c r="B549" s="58">
        <v>1.0178166720507553</v>
      </c>
      <c r="C549" s="57">
        <v>7641.8771602719789</v>
      </c>
      <c r="D549" s="57">
        <v>7508.1076682254452</v>
      </c>
    </row>
    <row r="550" spans="1:4" x14ac:dyDescent="0.2">
      <c r="A550">
        <v>513</v>
      </c>
      <c r="B550" s="58">
        <v>0.83073905713172991</v>
      </c>
      <c r="C550" s="57">
        <v>7313.9606097011474</v>
      </c>
      <c r="D550" s="57">
        <v>8804.1612428261888</v>
      </c>
    </row>
    <row r="551" spans="1:4" x14ac:dyDescent="0.2">
      <c r="A551">
        <v>514</v>
      </c>
      <c r="B551" s="58">
        <v>1.0625650205226567</v>
      </c>
      <c r="C551" s="57">
        <v>6886.3662426326891</v>
      </c>
      <c r="D551" s="57">
        <v>6480.8892723058107</v>
      </c>
    </row>
    <row r="552" spans="1:4" x14ac:dyDescent="0.2">
      <c r="A552">
        <v>515</v>
      </c>
      <c r="B552" s="58">
        <v>0.80056614212928423</v>
      </c>
      <c r="C552" s="57">
        <v>6798.6000337056103</v>
      </c>
      <c r="D552" s="57">
        <v>8492.2402733935469</v>
      </c>
    </row>
    <row r="553" spans="1:4" x14ac:dyDescent="0.2">
      <c r="A553">
        <v>516</v>
      </c>
      <c r="B553" s="58">
        <v>0.66154246011009832</v>
      </c>
      <c r="C553" s="57">
        <v>8567.1467015325179</v>
      </c>
      <c r="D553" s="57">
        <v>12950.259761265688</v>
      </c>
    </row>
    <row r="554" spans="1:4" x14ac:dyDescent="0.2">
      <c r="A554">
        <v>517</v>
      </c>
      <c r="B554" s="58">
        <v>0.66932055813438751</v>
      </c>
      <c r="C554" s="57">
        <v>7541.0091375180482</v>
      </c>
      <c r="D554" s="57">
        <v>11266.662955247148</v>
      </c>
    </row>
    <row r="555" spans="1:4" x14ac:dyDescent="0.2">
      <c r="A555">
        <v>518</v>
      </c>
      <c r="B555" s="58">
        <v>1.0146254065744813</v>
      </c>
      <c r="C555" s="57">
        <v>5510.4662818628967</v>
      </c>
      <c r="D555" s="57">
        <v>5431.0351841740385</v>
      </c>
    </row>
    <row r="556" spans="1:4" x14ac:dyDescent="0.2">
      <c r="A556">
        <v>519</v>
      </c>
      <c r="B556" s="58">
        <v>0.70348705914140197</v>
      </c>
      <c r="C556" s="57">
        <v>8256.5288317401064</v>
      </c>
      <c r="D556" s="57">
        <v>11736.575285147543</v>
      </c>
    </row>
    <row r="557" spans="1:4" x14ac:dyDescent="0.2">
      <c r="A557">
        <v>520</v>
      </c>
      <c r="B557" s="58">
        <v>0.9151752446272825</v>
      </c>
      <c r="C557" s="57">
        <v>6691.2335053128591</v>
      </c>
      <c r="D557" s="57">
        <v>7311.4231887226742</v>
      </c>
    </row>
    <row r="558" spans="1:4" x14ac:dyDescent="0.2">
      <c r="A558">
        <v>521</v>
      </c>
      <c r="B558" s="58">
        <v>0.71313068404044166</v>
      </c>
      <c r="C558" s="57">
        <v>8184.4948201339521</v>
      </c>
      <c r="D558" s="57">
        <v>11476.851302712714</v>
      </c>
    </row>
    <row r="559" spans="1:4" x14ac:dyDescent="0.2">
      <c r="A559">
        <v>522</v>
      </c>
      <c r="B559" s="58">
        <v>0.95821504879001207</v>
      </c>
      <c r="C559" s="57">
        <v>5145.4356977278285</v>
      </c>
      <c r="D559" s="57">
        <v>5369.8130750766622</v>
      </c>
    </row>
    <row r="560" spans="1:4" x14ac:dyDescent="0.2">
      <c r="A560">
        <v>523</v>
      </c>
      <c r="B560" s="58">
        <v>0.87882913008038166</v>
      </c>
      <c r="C560" s="57">
        <v>6297.6694857409711</v>
      </c>
      <c r="D560" s="57">
        <v>7165.9771737026495</v>
      </c>
    </row>
    <row r="561" spans="1:4" x14ac:dyDescent="0.2">
      <c r="A561">
        <v>524</v>
      </c>
      <c r="B561" s="58">
        <v>0.67576080281054729</v>
      </c>
      <c r="C561" s="57">
        <v>7303.5263789168775</v>
      </c>
      <c r="D561" s="57">
        <v>10807.857378736504</v>
      </c>
    </row>
    <row r="562" spans="1:4" x14ac:dyDescent="0.2">
      <c r="A562">
        <v>525</v>
      </c>
      <c r="B562" s="58">
        <v>0.71429655822801674</v>
      </c>
      <c r="C562" s="57">
        <v>6829.7589422781493</v>
      </c>
      <c r="D562" s="57">
        <v>9561.5173608297901</v>
      </c>
    </row>
    <row r="563" spans="1:4" x14ac:dyDescent="0.2">
      <c r="A563">
        <v>526</v>
      </c>
      <c r="B563" s="58">
        <v>0.76558172969085714</v>
      </c>
      <c r="C563" s="57">
        <v>7531.7937624891347</v>
      </c>
      <c r="D563" s="57">
        <v>9838.0009219008953</v>
      </c>
    </row>
    <row r="564" spans="1:4" x14ac:dyDescent="0.2">
      <c r="A564">
        <v>527</v>
      </c>
      <c r="B564" s="58">
        <v>0.9105134609359915</v>
      </c>
      <c r="C564" s="57">
        <v>6311.2526710908642</v>
      </c>
      <c r="D564" s="57">
        <v>6931.5314290938759</v>
      </c>
    </row>
    <row r="565" spans="1:4" x14ac:dyDescent="0.2">
      <c r="A565">
        <v>528</v>
      </c>
      <c r="B565" s="58">
        <v>0.84437598147501092</v>
      </c>
      <c r="C565" s="57">
        <v>6488.9198675856132</v>
      </c>
      <c r="D565" s="57">
        <v>7684.8702591591318</v>
      </c>
    </row>
    <row r="566" spans="1:4" x14ac:dyDescent="0.2">
      <c r="A566">
        <v>529</v>
      </c>
      <c r="B566" s="58">
        <v>0.78644366847091973</v>
      </c>
      <c r="C566" s="57">
        <v>6108.738324745018</v>
      </c>
      <c r="D566" s="57">
        <v>7767.5472124052076</v>
      </c>
    </row>
    <row r="567" spans="1:4" x14ac:dyDescent="0.2">
      <c r="A567">
        <v>530</v>
      </c>
      <c r="B567" s="58">
        <v>0.99243821288497092</v>
      </c>
      <c r="C567" s="57">
        <v>6684.2750185540772</v>
      </c>
      <c r="D567" s="57">
        <v>6735.2052065016787</v>
      </c>
    </row>
    <row r="568" spans="1:4" x14ac:dyDescent="0.2">
      <c r="A568">
        <v>531</v>
      </c>
      <c r="B568" s="58">
        <v>0.88890734161977303</v>
      </c>
      <c r="C568" s="57">
        <v>5231.8888356607167</v>
      </c>
      <c r="D568" s="57">
        <v>5885.7527558801949</v>
      </c>
    </row>
    <row r="569" spans="1:4" x14ac:dyDescent="0.2">
      <c r="A569">
        <v>532</v>
      </c>
      <c r="B569" s="58">
        <v>0.95730751359495869</v>
      </c>
      <c r="C569" s="57">
        <v>5299.9525339364354</v>
      </c>
      <c r="D569" s="57">
        <v>5536.3114345918211</v>
      </c>
    </row>
    <row r="570" spans="1:4" x14ac:dyDescent="0.2">
      <c r="A570">
        <v>533</v>
      </c>
      <c r="B570" s="58">
        <v>1.0121132372287525</v>
      </c>
      <c r="C570" s="57">
        <v>6840.8218327803552</v>
      </c>
      <c r="D570" s="57">
        <v>6758.9490791673434</v>
      </c>
    </row>
    <row r="571" spans="1:4" x14ac:dyDescent="0.2">
      <c r="A571">
        <v>534</v>
      </c>
      <c r="B571" s="58">
        <v>1.0682221550600435</v>
      </c>
      <c r="C571" s="57">
        <v>7541.0010522546272</v>
      </c>
      <c r="D571" s="57">
        <v>7059.393981423983</v>
      </c>
    </row>
    <row r="572" spans="1:4" x14ac:dyDescent="0.2">
      <c r="A572">
        <v>535</v>
      </c>
      <c r="B572" s="58">
        <v>0.86476742698886078</v>
      </c>
      <c r="C572" s="57">
        <v>6542.7632205201135</v>
      </c>
      <c r="D572" s="57">
        <v>7565.9223697892494</v>
      </c>
    </row>
    <row r="573" spans="1:4" x14ac:dyDescent="0.2">
      <c r="A573">
        <v>536</v>
      </c>
      <c r="B573" s="58">
        <v>0.75310130126747232</v>
      </c>
      <c r="C573" s="57">
        <v>5834.3847161827698</v>
      </c>
      <c r="D573" s="57">
        <v>7747.144648885188</v>
      </c>
    </row>
    <row r="574" spans="1:4" x14ac:dyDescent="0.2">
      <c r="A574">
        <v>537</v>
      </c>
      <c r="B574" s="58">
        <v>0.66332259926334469</v>
      </c>
      <c r="C574" s="57">
        <v>8050.3888397212322</v>
      </c>
      <c r="D574" s="57">
        <v>12136.460974888569</v>
      </c>
    </row>
    <row r="575" spans="1:4" x14ac:dyDescent="0.2">
      <c r="A575">
        <v>538</v>
      </c>
      <c r="B575" s="58">
        <v>0.82376088589453111</v>
      </c>
      <c r="C575" s="57">
        <v>8668.5543366701895</v>
      </c>
      <c r="D575" s="57">
        <v>10523.143894185883</v>
      </c>
    </row>
    <row r="576" spans="1:4" x14ac:dyDescent="0.2">
      <c r="A576">
        <v>539</v>
      </c>
      <c r="B576" s="58">
        <v>0.65194730147509539</v>
      </c>
      <c r="C576" s="57">
        <v>9157.0715871471511</v>
      </c>
      <c r="D576" s="57">
        <v>14045.723582915934</v>
      </c>
    </row>
    <row r="577" spans="1:4" x14ac:dyDescent="0.2">
      <c r="A577">
        <v>540</v>
      </c>
      <c r="B577" s="58">
        <v>0.98258842190793771</v>
      </c>
      <c r="C577" s="57">
        <v>6717.8558660027602</v>
      </c>
      <c r="D577" s="57">
        <v>6836.897032593145</v>
      </c>
    </row>
    <row r="578" spans="1:4" x14ac:dyDescent="0.2">
      <c r="A578">
        <v>541</v>
      </c>
      <c r="B578" s="58">
        <v>1.056731234332549</v>
      </c>
      <c r="C578" s="57">
        <v>5640.8740381017378</v>
      </c>
      <c r="D578" s="57">
        <v>5338.0404163643543</v>
      </c>
    </row>
    <row r="579" spans="1:4" x14ac:dyDescent="0.2">
      <c r="A579">
        <v>542</v>
      </c>
      <c r="B579" s="58">
        <v>1.0195296422925288</v>
      </c>
      <c r="C579" s="57">
        <v>8549.0688441399416</v>
      </c>
      <c r="D579" s="57">
        <v>8385.3068017879141</v>
      </c>
    </row>
    <row r="580" spans="1:4" x14ac:dyDescent="0.2">
      <c r="A580">
        <v>543</v>
      </c>
      <c r="B580" s="58">
        <v>0.7229326383851431</v>
      </c>
      <c r="C580" s="57">
        <v>7570.9180953904761</v>
      </c>
      <c r="D580" s="57">
        <v>10472.508354723172</v>
      </c>
    </row>
    <row r="581" spans="1:4" x14ac:dyDescent="0.2">
      <c r="A581">
        <v>544</v>
      </c>
      <c r="B581" s="58">
        <v>0.82550451012841641</v>
      </c>
      <c r="C581" s="57">
        <v>6774.8010868422825</v>
      </c>
      <c r="D581" s="57">
        <v>8206.8613844258543</v>
      </c>
    </row>
    <row r="582" spans="1:4" x14ac:dyDescent="0.2">
      <c r="A582">
        <v>545</v>
      </c>
      <c r="B582" s="58">
        <v>0.76640274395141539</v>
      </c>
      <c r="C582" s="57">
        <v>6590.0156312044073</v>
      </c>
      <c r="D582" s="57">
        <v>8598.632616093777</v>
      </c>
    </row>
    <row r="583" spans="1:4" x14ac:dyDescent="0.2">
      <c r="A583">
        <v>546</v>
      </c>
      <c r="B583" s="58">
        <v>0.74937659737893192</v>
      </c>
      <c r="C583" s="57">
        <v>7793.9323789904556</v>
      </c>
      <c r="D583" s="57">
        <v>10400.554816164553</v>
      </c>
    </row>
    <row r="584" spans="1:4" x14ac:dyDescent="0.2">
      <c r="A584">
        <v>547</v>
      </c>
      <c r="B584" s="58">
        <v>1.178590699448506</v>
      </c>
      <c r="C584" s="57">
        <v>7083.714330532508</v>
      </c>
      <c r="D584" s="57">
        <v>6010.3260053275208</v>
      </c>
    </row>
    <row r="585" spans="1:4" x14ac:dyDescent="0.2">
      <c r="A585">
        <v>548</v>
      </c>
      <c r="B585" s="58">
        <v>0.68729044221815805</v>
      </c>
      <c r="C585" s="57">
        <v>6376.5735282420028</v>
      </c>
      <c r="D585" s="57">
        <v>9277.8440329568366</v>
      </c>
    </row>
    <row r="586" spans="1:4" x14ac:dyDescent="0.2">
      <c r="A586">
        <v>549</v>
      </c>
      <c r="B586" s="58">
        <v>0.91784904732570638</v>
      </c>
      <c r="C586" s="57">
        <v>5475.8637949715685</v>
      </c>
      <c r="D586" s="57">
        <v>5965.974264424347</v>
      </c>
    </row>
    <row r="587" spans="1:4" x14ac:dyDescent="0.2">
      <c r="A587">
        <v>550</v>
      </c>
      <c r="B587" s="58">
        <v>0.85074517688553541</v>
      </c>
      <c r="C587" s="57">
        <v>7686.4928276722549</v>
      </c>
      <c r="D587" s="57">
        <v>9035.0119360199951</v>
      </c>
    </row>
    <row r="588" spans="1:4" x14ac:dyDescent="0.2">
      <c r="A588">
        <v>551</v>
      </c>
      <c r="B588" s="58">
        <v>0.85950275717577185</v>
      </c>
      <c r="C588" s="57">
        <v>6626.3164317565188</v>
      </c>
      <c r="D588" s="57">
        <v>7709.4766438328134</v>
      </c>
    </row>
    <row r="589" spans="1:4" x14ac:dyDescent="0.2">
      <c r="A589">
        <v>552</v>
      </c>
      <c r="B589" s="58">
        <v>0.73418629193617946</v>
      </c>
      <c r="C589" s="57">
        <v>8117.3254199555176</v>
      </c>
      <c r="D589" s="57">
        <v>11056.220347765811</v>
      </c>
    </row>
    <row r="590" spans="1:4" x14ac:dyDescent="0.2">
      <c r="A590">
        <v>553</v>
      </c>
      <c r="B590" s="58">
        <v>1.1305002391254186</v>
      </c>
      <c r="C590" s="57">
        <v>6865.2307529242335</v>
      </c>
      <c r="D590" s="57">
        <v>6072.73710816314</v>
      </c>
    </row>
    <row r="591" spans="1:4" x14ac:dyDescent="0.2">
      <c r="A591">
        <v>554</v>
      </c>
      <c r="B591" s="58">
        <v>0.97097087069972332</v>
      </c>
      <c r="C591" s="57">
        <v>6111.7532136126611</v>
      </c>
      <c r="D591" s="57">
        <v>6294.476382394736</v>
      </c>
    </row>
    <row r="592" spans="1:4" x14ac:dyDescent="0.2">
      <c r="A592">
        <v>555</v>
      </c>
      <c r="B592" s="58">
        <v>0.82568274363405791</v>
      </c>
      <c r="C592" s="57">
        <v>7039.5244625159485</v>
      </c>
      <c r="D592" s="57">
        <v>8525.70132631458</v>
      </c>
    </row>
    <row r="593" spans="1:4" x14ac:dyDescent="0.2">
      <c r="A593">
        <v>556</v>
      </c>
      <c r="B593" s="58">
        <v>0.7344171318726378</v>
      </c>
      <c r="C593" s="57">
        <v>7638.1267252373164</v>
      </c>
      <c r="D593" s="57">
        <v>10400.256739329327</v>
      </c>
    </row>
    <row r="594" spans="1:4" x14ac:dyDescent="0.2">
      <c r="A594">
        <v>557</v>
      </c>
      <c r="B594" s="58">
        <v>0.64689639551477818</v>
      </c>
      <c r="C594" s="57">
        <v>7298.999691800791</v>
      </c>
      <c r="D594" s="57">
        <v>11283.104593576372</v>
      </c>
    </row>
    <row r="595" spans="1:4" x14ac:dyDescent="0.2">
      <c r="A595">
        <v>558</v>
      </c>
      <c r="B595" s="58">
        <v>0.63861061203822622</v>
      </c>
      <c r="C595" s="57">
        <v>6686.9888253986837</v>
      </c>
      <c r="D595" s="57">
        <v>10471.15205939987</v>
      </c>
    </row>
    <row r="596" spans="1:4" x14ac:dyDescent="0.2">
      <c r="A596">
        <v>559</v>
      </c>
      <c r="B596" s="58">
        <v>0.56190578467816188</v>
      </c>
      <c r="C596" s="57">
        <v>8517.2789767449449</v>
      </c>
      <c r="D596" s="57">
        <v>15157.841775242296</v>
      </c>
    </row>
    <row r="597" spans="1:4" x14ac:dyDescent="0.2">
      <c r="A597">
        <v>560</v>
      </c>
      <c r="B597" s="58">
        <v>0.85086849791526564</v>
      </c>
      <c r="C597" s="57">
        <v>5805.7005447451975</v>
      </c>
      <c r="D597" s="57">
        <v>6823.2641812100119</v>
      </c>
    </row>
    <row r="598" spans="1:4" x14ac:dyDescent="0.2">
      <c r="A598">
        <v>561</v>
      </c>
      <c r="B598" s="58">
        <v>1.0970931520784974</v>
      </c>
      <c r="C598" s="57">
        <v>7088.5749943206883</v>
      </c>
      <c r="D598" s="57">
        <v>6461.2334703676079</v>
      </c>
    </row>
    <row r="599" spans="1:4" x14ac:dyDescent="0.2">
      <c r="A599">
        <v>562</v>
      </c>
      <c r="B599" s="58">
        <v>0.88990340312045113</v>
      </c>
      <c r="C599" s="57">
        <v>6009.676236498226</v>
      </c>
      <c r="D599" s="57">
        <v>6753.1781712770889</v>
      </c>
    </row>
    <row r="600" spans="1:4" x14ac:dyDescent="0.2">
      <c r="A600">
        <v>563</v>
      </c>
      <c r="B600" s="58">
        <v>0.75145513097444905</v>
      </c>
      <c r="C600" s="57">
        <v>6483.1973778761585</v>
      </c>
      <c r="D600" s="57">
        <v>8627.5242667770144</v>
      </c>
    </row>
    <row r="601" spans="1:4" x14ac:dyDescent="0.2">
      <c r="A601">
        <v>564</v>
      </c>
      <c r="B601" s="58">
        <v>0.98101858502859329</v>
      </c>
      <c r="C601" s="57">
        <v>7867.0590085865642</v>
      </c>
      <c r="D601" s="57">
        <v>8019.2762182556071</v>
      </c>
    </row>
    <row r="602" spans="1:4" x14ac:dyDescent="0.2">
      <c r="A602">
        <v>565</v>
      </c>
      <c r="B602" s="58">
        <v>0.77786939193453541</v>
      </c>
      <c r="C602" s="57">
        <v>5582.5463885450135</v>
      </c>
      <c r="D602" s="57">
        <v>7176.7142998921781</v>
      </c>
    </row>
    <row r="603" spans="1:4" x14ac:dyDescent="0.2">
      <c r="A603">
        <v>566</v>
      </c>
      <c r="B603" s="58">
        <v>0.51058709296471605</v>
      </c>
      <c r="C603" s="57">
        <v>7205.6510036806458</v>
      </c>
      <c r="D603" s="57">
        <v>14112.481696004388</v>
      </c>
    </row>
    <row r="604" spans="1:4" x14ac:dyDescent="0.2">
      <c r="A604">
        <v>567</v>
      </c>
      <c r="B604" s="58">
        <v>0.77422847761741664</v>
      </c>
      <c r="C604" s="57">
        <v>7105.8643407493837</v>
      </c>
      <c r="D604" s="57">
        <v>9177.9940239562347</v>
      </c>
    </row>
    <row r="605" spans="1:4" x14ac:dyDescent="0.2">
      <c r="A605">
        <v>568</v>
      </c>
      <c r="B605" s="58">
        <v>0.90349695229523874</v>
      </c>
      <c r="C605" s="57">
        <v>6515.3899607072071</v>
      </c>
      <c r="D605" s="57">
        <v>7211.3026437505359</v>
      </c>
    </row>
    <row r="606" spans="1:4" x14ac:dyDescent="0.2">
      <c r="A606">
        <v>569</v>
      </c>
      <c r="B606" s="58">
        <v>0.73778879301818723</v>
      </c>
      <c r="C606" s="57">
        <v>6424.077162670621</v>
      </c>
      <c r="D606" s="57">
        <v>8707.2035024964953</v>
      </c>
    </row>
    <row r="607" spans="1:4" x14ac:dyDescent="0.2">
      <c r="A607">
        <v>570</v>
      </c>
      <c r="B607" s="58">
        <v>1.2162070131655529</v>
      </c>
      <c r="C607" s="57">
        <v>6981.1779009407237</v>
      </c>
      <c r="D607" s="57">
        <v>5740.1230426800948</v>
      </c>
    </row>
    <row r="608" spans="1:4" x14ac:dyDescent="0.2">
      <c r="A608">
        <v>571</v>
      </c>
      <c r="B608" s="58">
        <v>0.6740807668470481</v>
      </c>
      <c r="C608" s="57">
        <v>9018.6975017330096</v>
      </c>
      <c r="D608" s="57">
        <v>13379.253563214914</v>
      </c>
    </row>
    <row r="609" spans="1:4" x14ac:dyDescent="0.2">
      <c r="A609">
        <v>572</v>
      </c>
      <c r="B609" s="58">
        <v>0.80422992535079452</v>
      </c>
      <c r="C609" s="57">
        <v>8942.3228808619879</v>
      </c>
      <c r="D609" s="57">
        <v>11119.112332162304</v>
      </c>
    </row>
    <row r="610" spans="1:4" x14ac:dyDescent="0.2">
      <c r="A610">
        <v>573</v>
      </c>
      <c r="B610" s="58">
        <v>0.85540530419341998</v>
      </c>
      <c r="C610" s="57">
        <v>6960.1640100506338</v>
      </c>
      <c r="D610" s="57">
        <v>8136.6855874403564</v>
      </c>
    </row>
    <row r="611" spans="1:4" x14ac:dyDescent="0.2">
      <c r="A611">
        <v>574</v>
      </c>
      <c r="B611" s="58">
        <v>0.9315354008634511</v>
      </c>
      <c r="C611" s="57">
        <v>6769.616598277471</v>
      </c>
      <c r="D611" s="57">
        <v>7267.1597794379404</v>
      </c>
    </row>
    <row r="612" spans="1:4" x14ac:dyDescent="0.2">
      <c r="A612">
        <v>575</v>
      </c>
      <c r="B612" s="58">
        <v>0.79564221916507094</v>
      </c>
      <c r="C612" s="57">
        <v>7198.3373473896463</v>
      </c>
      <c r="D612" s="57">
        <v>9047.2038486638121</v>
      </c>
    </row>
    <row r="613" spans="1:4" x14ac:dyDescent="0.2">
      <c r="A613">
        <v>576</v>
      </c>
      <c r="B613" s="58">
        <v>0.84750458911499749</v>
      </c>
      <c r="C613" s="57">
        <v>6578.7715215018197</v>
      </c>
      <c r="D613" s="57">
        <v>7762.5202341047734</v>
      </c>
    </row>
    <row r="614" spans="1:4" x14ac:dyDescent="0.2">
      <c r="A614">
        <v>577</v>
      </c>
      <c r="B614" s="58">
        <v>0.75950765255332975</v>
      </c>
      <c r="C614" s="57">
        <v>8369.6753799347662</v>
      </c>
      <c r="D614" s="57">
        <v>11019.869716647891</v>
      </c>
    </row>
    <row r="615" spans="1:4" x14ac:dyDescent="0.2">
      <c r="A615">
        <v>578</v>
      </c>
      <c r="B615" s="58">
        <v>1.1659220867748834</v>
      </c>
      <c r="C615" s="57">
        <v>7249.2704741245161</v>
      </c>
      <c r="D615" s="57">
        <v>6217.6285674260562</v>
      </c>
    </row>
    <row r="616" spans="1:4" x14ac:dyDescent="0.2">
      <c r="A616">
        <v>579</v>
      </c>
      <c r="B616" s="59">
        <v>0.70139839569276319</v>
      </c>
      <c r="C616" s="60">
        <v>7431.2081757138785</v>
      </c>
      <c r="D616" s="60">
        <v>10594.846269036814</v>
      </c>
    </row>
    <row r="617" spans="1:4" x14ac:dyDescent="0.2">
      <c r="A617">
        <v>580</v>
      </c>
      <c r="B617" s="58">
        <v>0.89230716776935992</v>
      </c>
      <c r="C617" s="57">
        <v>9821.4450802740921</v>
      </c>
      <c r="D617" s="57">
        <v>11006.79837059507</v>
      </c>
    </row>
    <row r="618" spans="1:4" x14ac:dyDescent="0.2">
      <c r="A618">
        <v>581</v>
      </c>
      <c r="B618" s="58">
        <v>0.81615056771756933</v>
      </c>
      <c r="C618" s="57">
        <v>7887.3150984783042</v>
      </c>
      <c r="D618" s="57">
        <v>9664.0441242794386</v>
      </c>
    </row>
    <row r="619" spans="1:4" x14ac:dyDescent="0.2">
      <c r="A619">
        <v>582</v>
      </c>
      <c r="B619" s="58">
        <v>0.8248092900663071</v>
      </c>
      <c r="C619" s="57">
        <v>8468.3802738224495</v>
      </c>
      <c r="D619" s="57">
        <v>10267.076736177001</v>
      </c>
    </row>
    <row r="620" spans="1:4" x14ac:dyDescent="0.2">
      <c r="A620">
        <v>583</v>
      </c>
      <c r="B620" s="58">
        <v>0.84754898093090247</v>
      </c>
      <c r="C620" s="57">
        <v>7470.0427068647268</v>
      </c>
      <c r="D620" s="57">
        <v>8813.7002992558992</v>
      </c>
    </row>
    <row r="621" spans="1:4" x14ac:dyDescent="0.2">
      <c r="A621">
        <v>584</v>
      </c>
      <c r="B621" s="58">
        <v>0.80484114148864538</v>
      </c>
      <c r="C621" s="57">
        <v>6613.3520014107744</v>
      </c>
      <c r="D621" s="57">
        <v>8216.9656352042675</v>
      </c>
    </row>
    <row r="622" spans="1:4" x14ac:dyDescent="0.2">
      <c r="A622">
        <v>585</v>
      </c>
      <c r="B622" s="58">
        <v>1.0593927950957651</v>
      </c>
      <c r="C622" s="57">
        <v>6429.6539808121815</v>
      </c>
      <c r="D622" s="57">
        <v>6069.1879448084837</v>
      </c>
    </row>
    <row r="623" spans="1:4" x14ac:dyDescent="0.2">
      <c r="A623">
        <v>586</v>
      </c>
      <c r="B623" s="58">
        <v>0.88217624655389137</v>
      </c>
      <c r="C623" s="57">
        <v>7314.0795037762782</v>
      </c>
      <c r="D623" s="57">
        <v>8290.9503994783281</v>
      </c>
    </row>
    <row r="624" spans="1:4" x14ac:dyDescent="0.2">
      <c r="A624">
        <v>587</v>
      </c>
      <c r="B624" s="58">
        <v>0.95487368894501312</v>
      </c>
      <c r="C624" s="57">
        <v>5917.2503137204876</v>
      </c>
      <c r="D624" s="57">
        <v>6196.8932459099678</v>
      </c>
    </row>
    <row r="625" spans="1:4" x14ac:dyDescent="0.2">
      <c r="A625">
        <v>588</v>
      </c>
      <c r="B625" s="58">
        <v>0.88196953992363003</v>
      </c>
      <c r="C625" s="57">
        <v>6452.1136262407126</v>
      </c>
      <c r="D625" s="57">
        <v>7315.5742167687595</v>
      </c>
    </row>
    <row r="626" spans="1:4" x14ac:dyDescent="0.2">
      <c r="A626">
        <v>589</v>
      </c>
      <c r="B626" s="58">
        <v>1.0284715978814827</v>
      </c>
      <c r="C626" s="57">
        <v>6607.6742834743673</v>
      </c>
      <c r="D626" s="57">
        <v>6424.7513466441997</v>
      </c>
    </row>
    <row r="627" spans="1:4" x14ac:dyDescent="0.2">
      <c r="A627">
        <v>590</v>
      </c>
      <c r="B627" s="58">
        <v>0.9906486187389314</v>
      </c>
      <c r="C627" s="57">
        <v>5298.2115808787785</v>
      </c>
      <c r="D627" s="57">
        <v>5348.2248707147619</v>
      </c>
    </row>
    <row r="628" spans="1:4" x14ac:dyDescent="0.2">
      <c r="A628">
        <v>591</v>
      </c>
      <c r="B628" s="58">
        <v>1.0597765151746747</v>
      </c>
      <c r="C628" s="57">
        <v>7480.0171612152471</v>
      </c>
      <c r="D628" s="57">
        <v>7058.1080577940284</v>
      </c>
    </row>
    <row r="629" spans="1:4" x14ac:dyDescent="0.2">
      <c r="A629">
        <v>592</v>
      </c>
      <c r="B629" s="58">
        <v>0.62686757321788278</v>
      </c>
      <c r="C629" s="57">
        <v>8093.2669508020554</v>
      </c>
      <c r="D629" s="57">
        <v>12910.648590829322</v>
      </c>
    </row>
    <row r="630" spans="1:4" x14ac:dyDescent="0.2">
      <c r="A630">
        <v>593</v>
      </c>
      <c r="B630" s="58">
        <v>0.96771924921861086</v>
      </c>
      <c r="C630" s="57">
        <v>7122.4339703310998</v>
      </c>
      <c r="D630" s="57">
        <v>7360.0209731098566</v>
      </c>
    </row>
    <row r="631" spans="1:4" x14ac:dyDescent="0.2">
      <c r="A631">
        <v>594</v>
      </c>
      <c r="B631" s="58">
        <v>1.2135212440334637</v>
      </c>
      <c r="C631" s="57">
        <v>6258.3398832436378</v>
      </c>
      <c r="D631" s="57">
        <v>5157.1737322392182</v>
      </c>
    </row>
    <row r="632" spans="1:4" x14ac:dyDescent="0.2">
      <c r="A632">
        <v>595</v>
      </c>
      <c r="B632" s="58">
        <v>0.73910017804548112</v>
      </c>
      <c r="C632" s="57">
        <v>5732.9658096751973</v>
      </c>
      <c r="D632" s="57">
        <v>7756.6830315692532</v>
      </c>
    </row>
    <row r="633" spans="1:4" x14ac:dyDescent="0.2">
      <c r="A633">
        <v>596</v>
      </c>
      <c r="B633" s="58">
        <v>0.63592036136201013</v>
      </c>
      <c r="C633" s="57">
        <v>6570.6213743472927</v>
      </c>
      <c r="D633" s="57">
        <v>10332.459492686125</v>
      </c>
    </row>
    <row r="634" spans="1:4" x14ac:dyDescent="0.2">
      <c r="A634">
        <v>597</v>
      </c>
      <c r="B634" s="58">
        <v>0.49784443659122424</v>
      </c>
      <c r="C634" s="57">
        <v>6634.9402160729114</v>
      </c>
      <c r="D634" s="57">
        <v>13327.336268941383</v>
      </c>
    </row>
    <row r="635" spans="1:4" x14ac:dyDescent="0.2">
      <c r="A635">
        <v>598</v>
      </c>
      <c r="B635" s="58">
        <v>0.77610753518799847</v>
      </c>
      <c r="C635" s="57">
        <v>7182.1907469244798</v>
      </c>
      <c r="D635" s="57">
        <v>9254.1180458771341</v>
      </c>
    </row>
    <row r="636" spans="1:4" x14ac:dyDescent="0.2">
      <c r="A636">
        <v>599</v>
      </c>
      <c r="B636" s="58">
        <v>0.72636091787564094</v>
      </c>
      <c r="C636" s="57">
        <v>7471.0938104846464</v>
      </c>
      <c r="D636" s="57">
        <v>10285.649498234376</v>
      </c>
    </row>
    <row r="637" spans="1:4" x14ac:dyDescent="0.2">
      <c r="A637">
        <v>600</v>
      </c>
      <c r="B637" s="58">
        <v>0.76909212647715997</v>
      </c>
      <c r="C637" s="57">
        <v>7442.2616664322832</v>
      </c>
      <c r="D637" s="57">
        <v>9676.6842491571115</v>
      </c>
    </row>
    <row r="638" spans="1:4" x14ac:dyDescent="0.2">
      <c r="A638">
        <v>601</v>
      </c>
      <c r="B638" s="58">
        <v>0.95780887752202659</v>
      </c>
      <c r="C638" s="57">
        <v>7919.2826048147745</v>
      </c>
      <c r="D638" s="57">
        <v>8268.1240387988109</v>
      </c>
    </row>
    <row r="639" spans="1:4" x14ac:dyDescent="0.2">
      <c r="A639">
        <v>602</v>
      </c>
      <c r="B639" s="58">
        <v>0.74452364000389792</v>
      </c>
      <c r="C639" s="57">
        <v>6482.2905996937807</v>
      </c>
      <c r="D639" s="57">
        <v>8706.6283075441934</v>
      </c>
    </row>
    <row r="640" spans="1:4" x14ac:dyDescent="0.2">
      <c r="A640">
        <v>603</v>
      </c>
      <c r="B640" s="58">
        <v>1.0544206350114544</v>
      </c>
      <c r="C640" s="57">
        <v>7241.6118348058608</v>
      </c>
      <c r="D640" s="57">
        <v>6867.8586081798303</v>
      </c>
    </row>
    <row r="641" spans="1:4" x14ac:dyDescent="0.2">
      <c r="A641">
        <v>604</v>
      </c>
      <c r="B641" s="58">
        <v>0.824221753127512</v>
      </c>
      <c r="C641" s="57">
        <v>5799.4840330449988</v>
      </c>
      <c r="D641" s="57">
        <v>7036.3151797909222</v>
      </c>
    </row>
    <row r="642" spans="1:4" x14ac:dyDescent="0.2">
      <c r="A642">
        <v>605</v>
      </c>
      <c r="B642" s="58">
        <v>0.75051318838959613</v>
      </c>
      <c r="C642" s="57">
        <v>6972.8266588344577</v>
      </c>
      <c r="D642" s="57">
        <v>9290.7450084872053</v>
      </c>
    </row>
    <row r="643" spans="1:4" x14ac:dyDescent="0.2">
      <c r="A643">
        <v>606</v>
      </c>
      <c r="B643" s="58">
        <v>0.54306994232969075</v>
      </c>
      <c r="C643" s="57">
        <v>8880.4298668350439</v>
      </c>
      <c r="D643" s="57">
        <v>16352.276520293679</v>
      </c>
    </row>
    <row r="644" spans="1:4" x14ac:dyDescent="0.2">
      <c r="A644">
        <v>607</v>
      </c>
      <c r="B644" s="58">
        <v>1.0082000175313315</v>
      </c>
      <c r="C644" s="57">
        <v>5844.5759569345119</v>
      </c>
      <c r="D644" s="57">
        <v>5797.0401262692722</v>
      </c>
    </row>
    <row r="645" spans="1:4" x14ac:dyDescent="0.2">
      <c r="A645">
        <v>608</v>
      </c>
      <c r="B645" s="58">
        <v>0.99650452967618008</v>
      </c>
      <c r="C645" s="57">
        <v>7283.5370061846661</v>
      </c>
      <c r="D645" s="57">
        <v>7309.0856983374615</v>
      </c>
    </row>
    <row r="646" spans="1:4" x14ac:dyDescent="0.2">
      <c r="A646">
        <v>609</v>
      </c>
      <c r="B646" s="58">
        <v>0.78631234306444941</v>
      </c>
      <c r="C646" s="57">
        <v>6257.1203456576795</v>
      </c>
      <c r="D646" s="57">
        <v>7957.5507123189345</v>
      </c>
    </row>
    <row r="647" spans="1:4" x14ac:dyDescent="0.2">
      <c r="A647">
        <v>610</v>
      </c>
      <c r="B647" s="58">
        <v>0.87678837924339348</v>
      </c>
      <c r="C647" s="57">
        <v>7147.8311589181794</v>
      </c>
      <c r="D647" s="57">
        <v>8152.2877448333129</v>
      </c>
    </row>
    <row r="648" spans="1:4" x14ac:dyDescent="0.2">
      <c r="A648">
        <v>611</v>
      </c>
      <c r="B648" s="58">
        <v>0.8870920154457913</v>
      </c>
      <c r="C648" s="57">
        <v>6688.8531175668322</v>
      </c>
      <c r="D648" s="57">
        <v>7540.2021448761161</v>
      </c>
    </row>
    <row r="649" spans="1:4" x14ac:dyDescent="0.2">
      <c r="A649">
        <v>612</v>
      </c>
      <c r="B649" s="59">
        <v>0.90820477994309279</v>
      </c>
      <c r="C649" s="60">
        <v>8682.2023780116615</v>
      </c>
      <c r="D649" s="60">
        <v>9559.7408973730344</v>
      </c>
    </row>
    <row r="650" spans="1:4" x14ac:dyDescent="0.2">
      <c r="A650">
        <v>613</v>
      </c>
      <c r="B650" s="58">
        <v>0.86535108410405215</v>
      </c>
      <c r="C650" s="57">
        <v>6665.4575378102836</v>
      </c>
      <c r="D650" s="57">
        <v>7702.6049429537788</v>
      </c>
    </row>
    <row r="651" spans="1:4" x14ac:dyDescent="0.2">
      <c r="A651">
        <v>614</v>
      </c>
      <c r="B651" s="58">
        <v>0.90307162833105892</v>
      </c>
      <c r="C651" s="57">
        <v>5109.1276337697273</v>
      </c>
      <c r="D651" s="57">
        <v>5657.499885376491</v>
      </c>
    </row>
    <row r="652" spans="1:4" x14ac:dyDescent="0.2">
      <c r="A652">
        <v>615</v>
      </c>
      <c r="B652" s="58">
        <v>0.829326543818933</v>
      </c>
      <c r="C652" s="57">
        <v>5882.2675019822964</v>
      </c>
      <c r="D652" s="57">
        <v>7092.8243474461524</v>
      </c>
    </row>
    <row r="653" spans="1:4" x14ac:dyDescent="0.2">
      <c r="A653">
        <v>616</v>
      </c>
      <c r="B653" s="58">
        <v>0.93090120050170899</v>
      </c>
      <c r="C653" s="57">
        <v>6833.3949303953486</v>
      </c>
      <c r="D653" s="57">
        <v>7340.623179680606</v>
      </c>
    </row>
    <row r="654" spans="1:4" x14ac:dyDescent="0.2">
      <c r="A654">
        <v>617</v>
      </c>
      <c r="B654" s="58">
        <v>0.8770147874296006</v>
      </c>
      <c r="C654" s="57">
        <v>7103.6803901513958</v>
      </c>
      <c r="D654" s="57">
        <v>8099.8410653613064</v>
      </c>
    </row>
    <row r="655" spans="1:4" x14ac:dyDescent="0.2">
      <c r="A655">
        <v>618</v>
      </c>
      <c r="B655" s="58">
        <v>0.69289489412166283</v>
      </c>
      <c r="C655" s="57">
        <v>7189.5465204634156</v>
      </c>
      <c r="D655" s="57">
        <v>10376.099725164131</v>
      </c>
    </row>
    <row r="656" spans="1:4" x14ac:dyDescent="0.2">
      <c r="A656">
        <v>619</v>
      </c>
      <c r="B656" s="58">
        <v>0.61910562343086184</v>
      </c>
      <c r="C656" s="57">
        <v>6772.927871518883</v>
      </c>
      <c r="D656" s="57">
        <v>10939.858426718432</v>
      </c>
    </row>
    <row r="657" spans="1:4" x14ac:dyDescent="0.2">
      <c r="A657">
        <v>620</v>
      </c>
      <c r="B657" s="58">
        <v>0.71125481153918546</v>
      </c>
      <c r="C657" s="57">
        <v>6902.4777996549892</v>
      </c>
      <c r="D657" s="57">
        <v>9704.6483027900158</v>
      </c>
    </row>
    <row r="658" spans="1:4" x14ac:dyDescent="0.2">
      <c r="A658">
        <v>621</v>
      </c>
      <c r="B658" s="58">
        <v>1.1037406373724483</v>
      </c>
      <c r="C658" s="57">
        <v>6250.1886402616401</v>
      </c>
      <c r="D658" s="57">
        <v>5662.7330992729994</v>
      </c>
    </row>
    <row r="659" spans="1:4" x14ac:dyDescent="0.2">
      <c r="A659">
        <v>622</v>
      </c>
      <c r="B659" s="58">
        <v>1.1054106602801212</v>
      </c>
      <c r="C659" s="57">
        <v>6293.9928456508551</v>
      </c>
      <c r="D659" s="57">
        <v>5693.8050914543373</v>
      </c>
    </row>
    <row r="660" spans="1:4" x14ac:dyDescent="0.2">
      <c r="A660">
        <v>623</v>
      </c>
      <c r="B660" s="58">
        <v>0.73629335406153373</v>
      </c>
      <c r="C660" s="57">
        <v>6392.2556596947306</v>
      </c>
      <c r="D660" s="57">
        <v>8681.6696421797587</v>
      </c>
    </row>
    <row r="661" spans="1:4" x14ac:dyDescent="0.2">
      <c r="A661">
        <v>624</v>
      </c>
      <c r="B661" s="58">
        <v>0.76796044381961082</v>
      </c>
      <c r="C661" s="57">
        <v>8887.3762514264236</v>
      </c>
      <c r="D661" s="57">
        <v>11572.700551115902</v>
      </c>
    </row>
    <row r="662" spans="1:4" x14ac:dyDescent="0.2">
      <c r="A662">
        <v>625</v>
      </c>
      <c r="B662" s="58">
        <v>0.88150079951666349</v>
      </c>
      <c r="C662" s="57">
        <v>6511.9885545941725</v>
      </c>
      <c r="D662" s="57">
        <v>7387.3881432266053</v>
      </c>
    </row>
    <row r="663" spans="1:4" x14ac:dyDescent="0.2">
      <c r="A663">
        <v>626</v>
      </c>
      <c r="B663" s="58">
        <v>0.90419938134606248</v>
      </c>
      <c r="C663" s="57">
        <v>6332.6076021863655</v>
      </c>
      <c r="D663" s="57">
        <v>7003.5522395062326</v>
      </c>
    </row>
    <row r="664" spans="1:4" x14ac:dyDescent="0.2">
      <c r="A664">
        <v>627</v>
      </c>
      <c r="B664" s="58">
        <v>0.72886832306909533</v>
      </c>
      <c r="C664" s="57">
        <v>7527.229687077619</v>
      </c>
      <c r="D664" s="57">
        <v>10327.283336148019</v>
      </c>
    </row>
    <row r="665" spans="1:4" x14ac:dyDescent="0.2">
      <c r="A665">
        <v>628</v>
      </c>
      <c r="B665" s="58">
        <v>0.79564644326610079</v>
      </c>
      <c r="C665" s="57">
        <v>5942.5682066275567</v>
      </c>
      <c r="D665" s="57">
        <v>7468.8553652468081</v>
      </c>
    </row>
    <row r="666" spans="1:4" x14ac:dyDescent="0.2">
      <c r="A666">
        <v>629</v>
      </c>
      <c r="B666" s="58">
        <v>0.88723658968636077</v>
      </c>
      <c r="C666" s="57">
        <v>6272.5072758875649</v>
      </c>
      <c r="D666" s="57">
        <v>7069.7121250431119</v>
      </c>
    </row>
    <row r="667" spans="1:4" x14ac:dyDescent="0.2">
      <c r="A667">
        <v>630</v>
      </c>
      <c r="B667" s="58">
        <v>0.8052051936223581</v>
      </c>
      <c r="C667" s="57">
        <v>6499.8695766910278</v>
      </c>
      <c r="D667" s="57">
        <v>8072.3145207871967</v>
      </c>
    </row>
    <row r="668" spans="1:4" x14ac:dyDescent="0.2">
      <c r="A668">
        <v>631</v>
      </c>
      <c r="B668" s="58">
        <v>0.6464083005486021</v>
      </c>
      <c r="C668" s="57">
        <v>6772.6938680667481</v>
      </c>
      <c r="D668" s="57">
        <v>10477.424040376356</v>
      </c>
    </row>
    <row r="669" spans="1:4" x14ac:dyDescent="0.2">
      <c r="A669">
        <v>632</v>
      </c>
      <c r="B669" s="58">
        <v>1.0358564918453519</v>
      </c>
      <c r="C669" s="57">
        <v>7981.6209814461163</v>
      </c>
      <c r="D669" s="57">
        <v>7705.334710242596</v>
      </c>
    </row>
    <row r="670" spans="1:4" x14ac:dyDescent="0.2">
      <c r="A670">
        <v>633</v>
      </c>
      <c r="B670" s="58">
        <v>1.1553394476462415</v>
      </c>
      <c r="C670" s="57">
        <v>6689.8535093137889</v>
      </c>
      <c r="D670" s="57">
        <v>5790.3792023573187</v>
      </c>
    </row>
    <row r="671" spans="1:4" x14ac:dyDescent="0.2">
      <c r="A671">
        <v>634</v>
      </c>
      <c r="B671" s="58">
        <v>0.91105517273685166</v>
      </c>
      <c r="C671" s="57">
        <v>6132.8571275047925</v>
      </c>
      <c r="D671" s="57">
        <v>6731.5979438231034</v>
      </c>
    </row>
    <row r="672" spans="1:4" x14ac:dyDescent="0.2">
      <c r="A672">
        <v>635</v>
      </c>
      <c r="B672" s="58">
        <v>0.74069108510605197</v>
      </c>
      <c r="C672" s="57">
        <v>8124.8863428040695</v>
      </c>
      <c r="D672" s="57">
        <v>10969.331893120801</v>
      </c>
    </row>
    <row r="673" spans="1:4" x14ac:dyDescent="0.2">
      <c r="A673">
        <v>636</v>
      </c>
      <c r="B673" s="58">
        <v>0.85772116445009416</v>
      </c>
      <c r="C673" s="57">
        <v>9378.2863518987178</v>
      </c>
      <c r="D673" s="57">
        <v>10933.957025429545</v>
      </c>
    </row>
    <row r="674" spans="1:4" x14ac:dyDescent="0.2">
      <c r="A674">
        <v>637</v>
      </c>
      <c r="B674" s="58">
        <v>0.87644438367106581</v>
      </c>
      <c r="C674" s="57">
        <v>5109.4819184956268</v>
      </c>
      <c r="D674" s="57">
        <v>5829.7845404566397</v>
      </c>
    </row>
    <row r="675" spans="1:4" x14ac:dyDescent="0.2">
      <c r="A675">
        <v>638</v>
      </c>
      <c r="B675" s="58">
        <v>0.93383307251989667</v>
      </c>
      <c r="C675" s="57">
        <v>8692.3060494796646</v>
      </c>
      <c r="D675" s="57">
        <v>9308.2011178121593</v>
      </c>
    </row>
    <row r="676" spans="1:4" x14ac:dyDescent="0.2">
      <c r="A676">
        <v>639</v>
      </c>
      <c r="B676" s="58">
        <v>0.85870979231396039</v>
      </c>
      <c r="C676" s="57">
        <v>7173.941955264685</v>
      </c>
      <c r="D676" s="57">
        <v>8354.326478487108</v>
      </c>
    </row>
    <row r="677" spans="1:4" x14ac:dyDescent="0.2">
      <c r="A677">
        <v>640</v>
      </c>
      <c r="B677" s="58">
        <v>0.7189115506698851</v>
      </c>
      <c r="C677" s="57">
        <v>6647.246080709001</v>
      </c>
      <c r="D677" s="57">
        <v>9246.2641259763695</v>
      </c>
    </row>
    <row r="678" spans="1:4" x14ac:dyDescent="0.2">
      <c r="A678">
        <v>641</v>
      </c>
      <c r="B678" s="58">
        <v>0.7848639159591837</v>
      </c>
      <c r="C678" s="57">
        <v>7160.246878708298</v>
      </c>
      <c r="D678" s="57">
        <v>9122.9151106504196</v>
      </c>
    </row>
    <row r="679" spans="1:4" x14ac:dyDescent="0.2">
      <c r="A679">
        <v>642</v>
      </c>
      <c r="B679" s="58">
        <v>0.91978195458487821</v>
      </c>
      <c r="C679" s="57">
        <v>6818.6034509599995</v>
      </c>
      <c r="D679" s="57">
        <v>7413.2824817566843</v>
      </c>
    </row>
    <row r="680" spans="1:4" x14ac:dyDescent="0.2">
      <c r="A680">
        <v>643</v>
      </c>
      <c r="B680" s="58">
        <v>0.73339764157067933</v>
      </c>
      <c r="C680" s="57">
        <v>7400.6351147345576</v>
      </c>
      <c r="D680" s="57">
        <v>10090.890255503147</v>
      </c>
    </row>
    <row r="681" spans="1:4" x14ac:dyDescent="0.2">
      <c r="A681">
        <v>644</v>
      </c>
      <c r="B681" s="58">
        <v>0.64578507003200158</v>
      </c>
      <c r="C681" s="57">
        <v>8620.6862083611741</v>
      </c>
      <c r="D681" s="57">
        <v>13349.156876503788</v>
      </c>
    </row>
    <row r="682" spans="1:4" x14ac:dyDescent="0.2">
      <c r="A682">
        <v>645</v>
      </c>
      <c r="B682" s="58">
        <v>0.91169596339673564</v>
      </c>
      <c r="C682" s="57">
        <v>7833.6867151149727</v>
      </c>
      <c r="D682" s="57">
        <v>8592.4332558507213</v>
      </c>
    </row>
    <row r="683" spans="1:4" x14ac:dyDescent="0.2">
      <c r="A683">
        <v>646</v>
      </c>
      <c r="B683" s="58">
        <v>0.64272462144240983</v>
      </c>
      <c r="C683" s="57">
        <v>5793.8563179171797</v>
      </c>
      <c r="D683" s="57">
        <v>9014.5236772080425</v>
      </c>
    </row>
    <row r="684" spans="1:4" x14ac:dyDescent="0.2">
      <c r="A684">
        <v>647</v>
      </c>
      <c r="B684" s="58">
        <v>0.70442546817651674</v>
      </c>
      <c r="C684" s="57">
        <v>6114.1603169334376</v>
      </c>
      <c r="D684" s="57">
        <v>8679.6412014469297</v>
      </c>
    </row>
    <row r="685" spans="1:4" x14ac:dyDescent="0.2">
      <c r="A685">
        <v>648</v>
      </c>
      <c r="B685" s="58">
        <v>0.62244260646131622</v>
      </c>
      <c r="C685" s="57">
        <v>6800.4616802567862</v>
      </c>
      <c r="D685" s="57">
        <v>10925.443743188593</v>
      </c>
    </row>
    <row r="686" spans="1:4" x14ac:dyDescent="0.2">
      <c r="A686">
        <v>649</v>
      </c>
      <c r="B686" s="58">
        <v>0.69285757753152133</v>
      </c>
      <c r="C686" s="57">
        <v>8671.3639319004997</v>
      </c>
      <c r="D686" s="57">
        <v>12515.362771659949</v>
      </c>
    </row>
    <row r="687" spans="1:4" x14ac:dyDescent="0.2">
      <c r="A687">
        <v>650</v>
      </c>
      <c r="B687" s="58">
        <v>0.8192521731553839</v>
      </c>
      <c r="C687" s="57">
        <v>7306.9996829465263</v>
      </c>
      <c r="D687" s="57">
        <v>8919.1093077035275</v>
      </c>
    </row>
    <row r="688" spans="1:4" x14ac:dyDescent="0.2">
      <c r="A688">
        <v>651</v>
      </c>
      <c r="B688" s="58">
        <v>0.92018643008155276</v>
      </c>
      <c r="C688" s="57">
        <v>7324.8153486067895</v>
      </c>
      <c r="D688" s="57">
        <v>7960.1427592858745</v>
      </c>
    </row>
    <row r="689" spans="1:4" x14ac:dyDescent="0.2">
      <c r="A689">
        <v>652</v>
      </c>
      <c r="B689" s="58">
        <v>0.91272737038343976</v>
      </c>
      <c r="C689" s="57">
        <v>6894.5533864531008</v>
      </c>
      <c r="D689" s="57">
        <v>7553.7927426857777</v>
      </c>
    </row>
    <row r="690" spans="1:4" x14ac:dyDescent="0.2">
      <c r="A690">
        <v>653</v>
      </c>
      <c r="B690" s="58">
        <v>0.75663955162418084</v>
      </c>
      <c r="C690" s="57">
        <v>9558.3362894986549</v>
      </c>
      <c r="D690" s="57">
        <v>12632.615185104985</v>
      </c>
    </row>
    <row r="691" spans="1:4" x14ac:dyDescent="0.2">
      <c r="A691">
        <v>654</v>
      </c>
      <c r="B691" s="58">
        <v>1.1808676321735261</v>
      </c>
      <c r="C691" s="57">
        <v>8089.6755729822826</v>
      </c>
      <c r="D691" s="57">
        <v>6850.6201309729195</v>
      </c>
    </row>
    <row r="692" spans="1:4" x14ac:dyDescent="0.2">
      <c r="A692">
        <v>655</v>
      </c>
      <c r="B692" s="58">
        <v>1.0056745541153616</v>
      </c>
      <c r="C692" s="57">
        <v>6205.874428191999</v>
      </c>
      <c r="D692" s="57">
        <v>6170.857563012496</v>
      </c>
    </row>
    <row r="693" spans="1:4" x14ac:dyDescent="0.2">
      <c r="A693">
        <v>656</v>
      </c>
      <c r="B693" s="58">
        <v>0.63131711329923412</v>
      </c>
      <c r="C693" s="57">
        <v>7412.4674783759401</v>
      </c>
      <c r="D693" s="57">
        <v>11741.274428058392</v>
      </c>
    </row>
    <row r="694" spans="1:4" x14ac:dyDescent="0.2">
      <c r="A694">
        <v>657</v>
      </c>
      <c r="B694" s="58">
        <v>0.90499690307776337</v>
      </c>
      <c r="C694" s="57">
        <v>7803.6941604338863</v>
      </c>
      <c r="D694" s="57">
        <v>8622.8959832841992</v>
      </c>
    </row>
    <row r="695" spans="1:4" x14ac:dyDescent="0.2">
      <c r="A695">
        <v>658</v>
      </c>
      <c r="B695" s="58">
        <v>1.0371414063041975</v>
      </c>
      <c r="C695" s="57">
        <v>7007.8826666457917</v>
      </c>
      <c r="D695" s="57">
        <v>6756.9211141786709</v>
      </c>
    </row>
    <row r="696" spans="1:4" x14ac:dyDescent="0.2">
      <c r="A696">
        <v>659</v>
      </c>
      <c r="B696" s="58">
        <v>0.90074914513824922</v>
      </c>
      <c r="C696" s="57">
        <v>6817.3492348936106</v>
      </c>
      <c r="D696" s="57">
        <v>7568.5325616903774</v>
      </c>
    </row>
    <row r="697" spans="1:4" x14ac:dyDescent="0.2">
      <c r="A697">
        <v>660</v>
      </c>
      <c r="B697" s="58">
        <v>0.8048908781691182</v>
      </c>
      <c r="C697" s="57">
        <v>6469.6759354528658</v>
      </c>
      <c r="D697" s="57">
        <v>8037.9541015167297</v>
      </c>
    </row>
    <row r="698" spans="1:4" x14ac:dyDescent="0.2">
      <c r="A698">
        <v>661</v>
      </c>
      <c r="B698" s="58">
        <v>0.66629121814892045</v>
      </c>
      <c r="C698" s="57">
        <v>7025.6012764910029</v>
      </c>
      <c r="D698" s="57">
        <v>10544.340200084605</v>
      </c>
    </row>
    <row r="699" spans="1:4" x14ac:dyDescent="0.2">
      <c r="A699">
        <v>662</v>
      </c>
      <c r="B699" s="58">
        <v>1.0477585223123809</v>
      </c>
      <c r="C699" s="57">
        <v>6208.180279923954</v>
      </c>
      <c r="D699" s="57">
        <v>5925.2014158974644</v>
      </c>
    </row>
    <row r="700" spans="1:4" x14ac:dyDescent="0.2">
      <c r="A700">
        <v>663</v>
      </c>
      <c r="B700" s="58">
        <v>0.96268718056147762</v>
      </c>
      <c r="C700" s="57">
        <v>8694.3253208142232</v>
      </c>
      <c r="D700" s="57">
        <v>9031.3089198334874</v>
      </c>
    </row>
    <row r="701" spans="1:4" x14ac:dyDescent="0.2">
      <c r="A701">
        <v>664</v>
      </c>
      <c r="B701" s="58">
        <v>1.0920079507241836</v>
      </c>
      <c r="C701" s="57">
        <v>6771.6026396137258</v>
      </c>
      <c r="D701" s="57">
        <v>6201.0561691634412</v>
      </c>
    </row>
    <row r="702" spans="1:4" x14ac:dyDescent="0.2">
      <c r="A702">
        <v>665</v>
      </c>
      <c r="B702" s="58">
        <v>0.96321661338815634</v>
      </c>
      <c r="C702" s="57">
        <v>8262.1837262136705</v>
      </c>
      <c r="D702" s="57">
        <v>8577.7006037625124</v>
      </c>
    </row>
    <row r="703" spans="1:4" x14ac:dyDescent="0.2">
      <c r="A703">
        <v>666</v>
      </c>
      <c r="B703" s="58">
        <v>0.84825703200984393</v>
      </c>
      <c r="C703" s="57">
        <v>7515.3422939928714</v>
      </c>
      <c r="D703" s="57">
        <v>8859.7465277548763</v>
      </c>
    </row>
    <row r="704" spans="1:4" x14ac:dyDescent="0.2">
      <c r="A704">
        <v>667</v>
      </c>
      <c r="B704" s="58">
        <v>0.9286956030205813</v>
      </c>
      <c r="C704" s="57">
        <v>5587.7358790580129</v>
      </c>
      <c r="D704" s="57">
        <v>6016.7571170617248</v>
      </c>
    </row>
    <row r="705" spans="1:4" x14ac:dyDescent="0.2">
      <c r="A705">
        <v>668</v>
      </c>
      <c r="B705" s="58">
        <v>0.96836202517459569</v>
      </c>
      <c r="C705" s="57">
        <v>5352.8317221045472</v>
      </c>
      <c r="D705" s="57">
        <v>5527.7175095124485</v>
      </c>
    </row>
    <row r="706" spans="1:4" x14ac:dyDescent="0.2">
      <c r="A706">
        <v>669</v>
      </c>
      <c r="B706" s="58">
        <v>0.92577280325511246</v>
      </c>
      <c r="C706" s="57">
        <v>7737.1510262625807</v>
      </c>
      <c r="D706" s="57">
        <v>8357.5052097641674</v>
      </c>
    </row>
    <row r="707" spans="1:4" x14ac:dyDescent="0.2">
      <c r="A707">
        <v>670</v>
      </c>
      <c r="B707" s="58">
        <v>0.77509734207742564</v>
      </c>
      <c r="C707" s="57">
        <v>5612.5527805460933</v>
      </c>
      <c r="D707" s="57">
        <v>7241.0940869739779</v>
      </c>
    </row>
    <row r="708" spans="1:4" x14ac:dyDescent="0.2">
      <c r="A708">
        <v>671</v>
      </c>
      <c r="B708" s="58">
        <v>0.86859956891326995</v>
      </c>
      <c r="C708" s="57">
        <v>5264.1969802346994</v>
      </c>
      <c r="D708" s="57">
        <v>6060.5567497815919</v>
      </c>
    </row>
    <row r="709" spans="1:4" x14ac:dyDescent="0.2">
      <c r="A709">
        <v>672</v>
      </c>
      <c r="B709" s="58">
        <v>0.58286609464506522</v>
      </c>
      <c r="C709" s="57">
        <v>6991.3235016170274</v>
      </c>
      <c r="D709" s="57">
        <v>11994.73355175064</v>
      </c>
    </row>
    <row r="710" spans="1:4" x14ac:dyDescent="0.2">
      <c r="A710">
        <v>673</v>
      </c>
      <c r="B710" s="58">
        <v>1.2103261275412303</v>
      </c>
      <c r="C710" s="57">
        <v>4187.2631505447662</v>
      </c>
      <c r="D710" s="57">
        <v>3459.6155988561236</v>
      </c>
    </row>
    <row r="711" spans="1:4" x14ac:dyDescent="0.2">
      <c r="A711">
        <v>674</v>
      </c>
      <c r="B711" s="58">
        <v>1.0968170458957918</v>
      </c>
      <c r="C711" s="57">
        <v>6234.7336154170753</v>
      </c>
      <c r="D711" s="57">
        <v>5684.3879649272294</v>
      </c>
    </row>
    <row r="712" spans="1:4" x14ac:dyDescent="0.2">
      <c r="A712">
        <v>675</v>
      </c>
      <c r="B712" s="58">
        <v>1.0694730521877833</v>
      </c>
      <c r="C712" s="57">
        <v>5612.9320914446744</v>
      </c>
      <c r="D712" s="57">
        <v>5248.315588656018</v>
      </c>
    </row>
    <row r="713" spans="1:4" x14ac:dyDescent="0.2">
      <c r="A713">
        <v>676</v>
      </c>
      <c r="B713" s="58">
        <v>0.90978921099674182</v>
      </c>
      <c r="C713" s="57">
        <v>8050.5041591064582</v>
      </c>
      <c r="D713" s="57">
        <v>8848.7575603216173</v>
      </c>
    </row>
    <row r="714" spans="1:4" x14ac:dyDescent="0.2">
      <c r="A714">
        <v>677</v>
      </c>
      <c r="B714" s="58">
        <v>0.80266859009990021</v>
      </c>
      <c r="C714" s="57">
        <v>8547.9228581423758</v>
      </c>
      <c r="D714" s="57">
        <v>10649.380035013579</v>
      </c>
    </row>
    <row r="715" spans="1:4" x14ac:dyDescent="0.2">
      <c r="A715">
        <v>678</v>
      </c>
      <c r="B715" s="58">
        <v>0.82538053526039867</v>
      </c>
      <c r="C715" s="57">
        <v>6808.4812130873943</v>
      </c>
      <c r="D715" s="57">
        <v>8248.8996556471884</v>
      </c>
    </row>
    <row r="716" spans="1:4" x14ac:dyDescent="0.2">
      <c r="A716">
        <v>679</v>
      </c>
      <c r="B716" s="58">
        <v>0.65375503219129349</v>
      </c>
      <c r="C716" s="57">
        <v>8022.2553192783889</v>
      </c>
      <c r="D716" s="57">
        <v>12271.041788219871</v>
      </c>
    </row>
    <row r="717" spans="1:4" x14ac:dyDescent="0.2">
      <c r="A717">
        <v>680</v>
      </c>
      <c r="B717" s="58">
        <v>0.80818852098835325</v>
      </c>
      <c r="C717" s="57">
        <v>6788.0813458174252</v>
      </c>
      <c r="D717" s="57">
        <v>8399.1311055941715</v>
      </c>
    </row>
    <row r="718" spans="1:4" x14ac:dyDescent="0.2">
      <c r="A718">
        <v>681</v>
      </c>
      <c r="B718" s="58">
        <v>0.77056367958261518</v>
      </c>
      <c r="C718" s="57">
        <v>6092.4938297726876</v>
      </c>
      <c r="D718" s="57">
        <v>7906.5416541209916</v>
      </c>
    </row>
    <row r="719" spans="1:4" x14ac:dyDescent="0.2">
      <c r="A719">
        <v>682</v>
      </c>
      <c r="B719" s="58">
        <v>0.61795171924785208</v>
      </c>
      <c r="C719" s="57">
        <v>7833.6080860992242</v>
      </c>
      <c r="D719" s="57">
        <v>12676.731599086741</v>
      </c>
    </row>
    <row r="720" spans="1:4" x14ac:dyDescent="0.2">
      <c r="A720">
        <v>683</v>
      </c>
      <c r="B720" s="58">
        <v>0.92963016480939853</v>
      </c>
      <c r="C720" s="57">
        <v>7848.022083936492</v>
      </c>
      <c r="D720" s="57">
        <v>8442.0906087374715</v>
      </c>
    </row>
    <row r="721" spans="1:4" x14ac:dyDescent="0.2">
      <c r="A721">
        <v>684</v>
      </c>
      <c r="B721" s="58">
        <v>0.60784056104054685</v>
      </c>
      <c r="C721" s="57">
        <v>8502.0306679298374</v>
      </c>
      <c r="D721" s="57">
        <v>13987.2710260984</v>
      </c>
    </row>
    <row r="722" spans="1:4" x14ac:dyDescent="0.2">
      <c r="A722">
        <v>685</v>
      </c>
      <c r="B722" s="58">
        <v>0.75875231338977933</v>
      </c>
      <c r="C722" s="57">
        <v>8203.5426295757989</v>
      </c>
      <c r="D722" s="57">
        <v>10811.884833570912</v>
      </c>
    </row>
    <row r="723" spans="1:4" x14ac:dyDescent="0.2">
      <c r="A723">
        <v>686</v>
      </c>
      <c r="B723" s="58">
        <v>0.97374373282439919</v>
      </c>
      <c r="C723" s="57">
        <v>6770.6912282502808</v>
      </c>
      <c r="D723" s="57">
        <v>6953.2578234023704</v>
      </c>
    </row>
    <row r="724" spans="1:4" x14ac:dyDescent="0.2">
      <c r="A724">
        <v>687</v>
      </c>
      <c r="B724" s="58">
        <v>0.87331961604358099</v>
      </c>
      <c r="C724" s="57">
        <v>6809.9401861880469</v>
      </c>
      <c r="D724" s="57">
        <v>7797.763912643195</v>
      </c>
    </row>
    <row r="725" spans="1:4" x14ac:dyDescent="0.2">
      <c r="A725">
        <v>688</v>
      </c>
      <c r="B725" s="58">
        <v>0.80564273249558305</v>
      </c>
      <c r="C725" s="57">
        <v>8339.9477559409934</v>
      </c>
      <c r="D725" s="57">
        <v>10351.918312608521</v>
      </c>
    </row>
    <row r="726" spans="1:4" x14ac:dyDescent="0.2">
      <c r="A726">
        <v>689</v>
      </c>
      <c r="B726" s="58">
        <v>0.80190429254588036</v>
      </c>
      <c r="C726" s="57">
        <v>7500.8323282774045</v>
      </c>
      <c r="D726" s="57">
        <v>9353.7750053236559</v>
      </c>
    </row>
    <row r="727" spans="1:4" x14ac:dyDescent="0.2">
      <c r="A727">
        <v>690</v>
      </c>
      <c r="B727" s="58">
        <v>0.75063422381158507</v>
      </c>
      <c r="C727" s="57">
        <v>6426.9392805103544</v>
      </c>
      <c r="D727" s="57">
        <v>8562.0120647783915</v>
      </c>
    </row>
    <row r="728" spans="1:4" x14ac:dyDescent="0.2">
      <c r="A728">
        <v>691</v>
      </c>
      <c r="B728" s="58">
        <v>0.71453423096465762</v>
      </c>
      <c r="C728" s="57">
        <v>6992.7368975137506</v>
      </c>
      <c r="D728" s="57">
        <v>9786.4267301416749</v>
      </c>
    </row>
    <row r="729" spans="1:4" x14ac:dyDescent="0.2">
      <c r="A729">
        <v>692</v>
      </c>
      <c r="B729" s="58">
        <v>0.7398517841693586</v>
      </c>
      <c r="C729" s="57">
        <v>8323.6070791069924</v>
      </c>
      <c r="D729" s="57">
        <v>11250.371029992199</v>
      </c>
    </row>
    <row r="730" spans="1:4" x14ac:dyDescent="0.2">
      <c r="A730">
        <v>693</v>
      </c>
      <c r="B730" s="58">
        <v>0.7771055473042825</v>
      </c>
      <c r="C730" s="57">
        <v>5062.1371046678141</v>
      </c>
      <c r="D730" s="57">
        <v>6514.0920975637946</v>
      </c>
    </row>
    <row r="731" spans="1:4" x14ac:dyDescent="0.2">
      <c r="A731">
        <v>694</v>
      </c>
      <c r="B731" s="58">
        <v>0.70179119117805655</v>
      </c>
      <c r="C731" s="57">
        <v>6694.602380608454</v>
      </c>
      <c r="D731" s="57">
        <v>9539.3080801863725</v>
      </c>
    </row>
    <row r="732" spans="1:4" x14ac:dyDescent="0.2">
      <c r="A732">
        <v>695</v>
      </c>
      <c r="B732" s="58">
        <v>0.87779068211335165</v>
      </c>
      <c r="C732" s="57">
        <v>7847.3046444697738</v>
      </c>
      <c r="D732" s="57">
        <v>8939.8358906895173</v>
      </c>
    </row>
    <row r="733" spans="1:4" x14ac:dyDescent="0.2">
      <c r="A733">
        <v>696</v>
      </c>
      <c r="B733" s="58">
        <v>0.73479745881162195</v>
      </c>
      <c r="C733" s="57">
        <v>5837.9537086455603</v>
      </c>
      <c r="D733" s="57">
        <v>7944.9835306823252</v>
      </c>
    </row>
    <row r="734" spans="1:4" x14ac:dyDescent="0.2">
      <c r="A734">
        <v>697</v>
      </c>
      <c r="B734" s="58">
        <v>1.1307500174729617</v>
      </c>
      <c r="C734" s="57">
        <v>6468.3704242813874</v>
      </c>
      <c r="D734" s="57">
        <v>5720.4247838413658</v>
      </c>
    </row>
    <row r="735" spans="1:4" x14ac:dyDescent="0.2">
      <c r="A735">
        <v>698</v>
      </c>
      <c r="B735" s="58">
        <v>0.69237335923236376</v>
      </c>
      <c r="C735" s="57">
        <v>5205.9879641299121</v>
      </c>
      <c r="D735" s="57">
        <v>7519.0471942794065</v>
      </c>
    </row>
    <row r="736" spans="1:4" x14ac:dyDescent="0.2">
      <c r="A736">
        <v>699</v>
      </c>
      <c r="B736" s="58">
        <v>0.78170767440696132</v>
      </c>
      <c r="C736" s="57">
        <v>7827.4116687818041</v>
      </c>
      <c r="D736" s="57">
        <v>10013.220958486856</v>
      </c>
    </row>
    <row r="737" spans="1:4" x14ac:dyDescent="0.2">
      <c r="A737">
        <v>700</v>
      </c>
      <c r="B737" s="58">
        <v>0.80062254166033142</v>
      </c>
      <c r="C737" s="57">
        <v>8358.5574558913831</v>
      </c>
      <c r="D737" s="57">
        <v>10440.072594705369</v>
      </c>
    </row>
    <row r="738" spans="1:4" x14ac:dyDescent="0.2">
      <c r="A738">
        <v>701</v>
      </c>
      <c r="B738" s="58">
        <v>0.73872975441517585</v>
      </c>
      <c r="C738" s="57">
        <v>7944.5797913717888</v>
      </c>
      <c r="D738" s="57">
        <v>10754.379045773254</v>
      </c>
    </row>
    <row r="739" spans="1:4" x14ac:dyDescent="0.2">
      <c r="A739">
        <v>702</v>
      </c>
      <c r="B739" s="59">
        <v>0.73081083932832858</v>
      </c>
      <c r="C739" s="60">
        <v>7578.3456142984778</v>
      </c>
      <c r="D739" s="60">
        <v>10369.77724805445</v>
      </c>
    </row>
    <row r="740" spans="1:4" x14ac:dyDescent="0.2">
      <c r="A740">
        <v>703</v>
      </c>
      <c r="B740" s="58">
        <v>0.62956439771453088</v>
      </c>
      <c r="C740" s="57">
        <v>6950.1592340726929</v>
      </c>
      <c r="D740" s="57">
        <v>11039.631941233385</v>
      </c>
    </row>
    <row r="741" spans="1:4" x14ac:dyDescent="0.2">
      <c r="A741">
        <v>704</v>
      </c>
      <c r="B741" s="58">
        <v>0.96581195219812876</v>
      </c>
      <c r="C741" s="57">
        <v>7543.4191535696991</v>
      </c>
      <c r="D741" s="57">
        <v>7810.4429505157186</v>
      </c>
    </row>
    <row r="742" spans="1:4" x14ac:dyDescent="0.2">
      <c r="A742">
        <v>705</v>
      </c>
      <c r="B742" s="58">
        <v>0.84350588946459659</v>
      </c>
      <c r="C742" s="57">
        <v>7338.0453519977873</v>
      </c>
      <c r="D742" s="57">
        <v>8699.4595338931267</v>
      </c>
    </row>
    <row r="743" spans="1:4" x14ac:dyDescent="0.2">
      <c r="A743">
        <v>706</v>
      </c>
      <c r="B743" s="58">
        <v>0.60806479365858657</v>
      </c>
      <c r="C743" s="57">
        <v>8045.5352563613042</v>
      </c>
      <c r="D743" s="57">
        <v>13231.378202235919</v>
      </c>
    </row>
    <row r="744" spans="1:4" x14ac:dyDescent="0.2">
      <c r="A744">
        <v>707</v>
      </c>
      <c r="B744" s="58">
        <v>1.1871860899135767</v>
      </c>
      <c r="C744" s="57">
        <v>6420.0432808670012</v>
      </c>
      <c r="D744" s="57">
        <v>5407.7817584051709</v>
      </c>
    </row>
    <row r="745" spans="1:4" x14ac:dyDescent="0.2">
      <c r="A745">
        <v>708</v>
      </c>
      <c r="B745" s="58">
        <v>0.54403758789896273</v>
      </c>
      <c r="C745" s="57">
        <v>8332.5051288465602</v>
      </c>
      <c r="D745" s="57">
        <v>15316.046747847231</v>
      </c>
    </row>
    <row r="746" spans="1:4" x14ac:dyDescent="0.2">
      <c r="A746">
        <v>709</v>
      </c>
      <c r="B746" s="58">
        <v>0.741941113301813</v>
      </c>
      <c r="C746" s="57">
        <v>5348.9641308968385</v>
      </c>
      <c r="D746" s="57">
        <v>7209.4186923982234</v>
      </c>
    </row>
    <row r="747" spans="1:4" x14ac:dyDescent="0.2">
      <c r="A747">
        <v>710</v>
      </c>
      <c r="B747" s="58">
        <v>0.82503782258215885</v>
      </c>
      <c r="C747" s="57">
        <v>7114.9802913675849</v>
      </c>
      <c r="D747" s="57">
        <v>8623.8231710389991</v>
      </c>
    </row>
    <row r="748" spans="1:4" x14ac:dyDescent="0.2">
      <c r="A748">
        <v>711</v>
      </c>
      <c r="B748" s="58">
        <v>0.78927319235697269</v>
      </c>
      <c r="C748" s="57">
        <v>6371.5242139247766</v>
      </c>
      <c r="D748" s="57">
        <v>8072.6474376986844</v>
      </c>
    </row>
    <row r="749" spans="1:4" x14ac:dyDescent="0.2">
      <c r="A749">
        <v>712</v>
      </c>
      <c r="B749" s="58">
        <v>0.86491026628831058</v>
      </c>
      <c r="C749" s="57">
        <v>4239.0556966471195</v>
      </c>
      <c r="D749" s="57">
        <v>4901.1508613935976</v>
      </c>
    </row>
    <row r="750" spans="1:4" x14ac:dyDescent="0.2">
      <c r="A750">
        <v>713</v>
      </c>
      <c r="B750" s="58">
        <v>0.68743047701504878</v>
      </c>
      <c r="C750" s="57">
        <v>8134.5498672521044</v>
      </c>
      <c r="D750" s="57">
        <v>11833.269165739983</v>
      </c>
    </row>
    <row r="751" spans="1:4" x14ac:dyDescent="0.2">
      <c r="A751">
        <v>714</v>
      </c>
      <c r="B751" s="58">
        <v>0.64394567567145433</v>
      </c>
      <c r="C751" s="57">
        <v>6502.7432473141316</v>
      </c>
      <c r="D751" s="57">
        <v>10098.279238436688</v>
      </c>
    </row>
    <row r="752" spans="1:4" x14ac:dyDescent="0.2">
      <c r="A752">
        <v>715</v>
      </c>
      <c r="B752" s="58">
        <v>0.78856889576035982</v>
      </c>
      <c r="C752" s="57">
        <v>6910.5480339719761</v>
      </c>
      <c r="D752" s="57">
        <v>8763.4042771984241</v>
      </c>
    </row>
    <row r="753" spans="1:4" x14ac:dyDescent="0.2">
      <c r="A753">
        <v>716</v>
      </c>
      <c r="B753" s="58">
        <v>0.92303608644527291</v>
      </c>
      <c r="C753" s="57">
        <v>5799.3146950018581</v>
      </c>
      <c r="D753" s="57">
        <v>6282.8688717206524</v>
      </c>
    </row>
    <row r="754" spans="1:4" x14ac:dyDescent="0.2">
      <c r="A754">
        <v>717</v>
      </c>
      <c r="B754" s="58">
        <v>0.9334992159994453</v>
      </c>
      <c r="C754" s="57">
        <v>6437.0517296391481</v>
      </c>
      <c r="D754" s="57">
        <v>6895.6155712968193</v>
      </c>
    </row>
    <row r="755" spans="1:4" x14ac:dyDescent="0.2">
      <c r="A755">
        <v>718</v>
      </c>
      <c r="B755" s="58">
        <v>0.84888609889803313</v>
      </c>
      <c r="C755" s="57">
        <v>7622.4313040414272</v>
      </c>
      <c r="D755" s="57">
        <v>8979.3334040177542</v>
      </c>
    </row>
    <row r="756" spans="1:4" x14ac:dyDescent="0.2">
      <c r="A756">
        <v>719</v>
      </c>
      <c r="B756" s="58">
        <v>0.90441674486670287</v>
      </c>
      <c r="C756" s="57">
        <v>6707.2158863930854</v>
      </c>
      <c r="D756" s="57">
        <v>7416.0677856330776</v>
      </c>
    </row>
    <row r="757" spans="1:4" x14ac:dyDescent="0.2">
      <c r="A757">
        <v>720</v>
      </c>
      <c r="B757" s="58">
        <v>0.91733065385164103</v>
      </c>
      <c r="C757" s="57">
        <v>5923.9662088757559</v>
      </c>
      <c r="D757" s="57">
        <v>6457.8308639338602</v>
      </c>
    </row>
    <row r="758" spans="1:4" x14ac:dyDescent="0.2">
      <c r="A758">
        <v>721</v>
      </c>
      <c r="B758" s="58">
        <v>0.92176853224482702</v>
      </c>
      <c r="C758" s="57">
        <v>7545.2917562882776</v>
      </c>
      <c r="D758" s="57">
        <v>8185.6686275814463</v>
      </c>
    </row>
    <row r="759" spans="1:4" x14ac:dyDescent="0.2">
      <c r="A759">
        <v>722</v>
      </c>
      <c r="B759" s="58">
        <v>0.93619871987097181</v>
      </c>
      <c r="C759" s="57">
        <v>8013.7058703077255</v>
      </c>
      <c r="D759" s="57">
        <v>8559.8342533646974</v>
      </c>
    </row>
    <row r="760" spans="1:4" x14ac:dyDescent="0.2">
      <c r="A760">
        <v>723</v>
      </c>
      <c r="B760" s="58">
        <v>0.98431383344601731</v>
      </c>
      <c r="C760" s="57">
        <v>6382.5560049677551</v>
      </c>
      <c r="D760" s="57">
        <v>6484.2693337173278</v>
      </c>
    </row>
    <row r="761" spans="1:4" x14ac:dyDescent="0.2">
      <c r="A761">
        <v>724</v>
      </c>
      <c r="B761" s="58">
        <v>1.086489499943502</v>
      </c>
      <c r="C761" s="57">
        <v>7594.6359518304462</v>
      </c>
      <c r="D761" s="57">
        <v>6990.0684288484808</v>
      </c>
    </row>
    <row r="762" spans="1:4" x14ac:dyDescent="0.2">
      <c r="A762">
        <v>725</v>
      </c>
      <c r="B762" s="58">
        <v>0.86296185153239513</v>
      </c>
      <c r="C762" s="57">
        <v>6251.8865106336507</v>
      </c>
      <c r="D762" s="57">
        <v>7244.6846862719731</v>
      </c>
    </row>
    <row r="763" spans="1:4" x14ac:dyDescent="0.2">
      <c r="A763">
        <v>726</v>
      </c>
      <c r="B763" s="58">
        <v>0.79910356386077375</v>
      </c>
      <c r="C763" s="57">
        <v>8060.5606664469742</v>
      </c>
      <c r="D763" s="57">
        <v>10087.003776460882</v>
      </c>
    </row>
    <row r="764" spans="1:4" x14ac:dyDescent="0.2">
      <c r="A764">
        <v>727</v>
      </c>
      <c r="B764" s="58">
        <v>0.8778853383789551</v>
      </c>
      <c r="C764" s="57">
        <v>6278.6107762683459</v>
      </c>
      <c r="D764" s="57">
        <v>7151.9713358717354</v>
      </c>
    </row>
    <row r="765" spans="1:4" x14ac:dyDescent="0.2">
      <c r="A765">
        <v>728</v>
      </c>
      <c r="B765" s="58">
        <v>1.0054633266843807</v>
      </c>
      <c r="C765" s="57">
        <v>6652.3151780424287</v>
      </c>
      <c r="D765" s="57">
        <v>6616.1688860190716</v>
      </c>
    </row>
    <row r="766" spans="1:4" x14ac:dyDescent="0.2">
      <c r="A766">
        <v>729</v>
      </c>
      <c r="B766" s="58">
        <v>0.69990606688154777</v>
      </c>
      <c r="C766" s="57">
        <v>7461.9756327921641</v>
      </c>
      <c r="D766" s="57">
        <v>10661.395844215522</v>
      </c>
    </row>
    <row r="767" spans="1:4" x14ac:dyDescent="0.2">
      <c r="A767">
        <v>730</v>
      </c>
      <c r="B767" s="59">
        <v>0.63763574507593823</v>
      </c>
      <c r="C767" s="60">
        <v>7488.1743895396539</v>
      </c>
      <c r="D767" s="60">
        <v>11743.65528809534</v>
      </c>
    </row>
    <row r="768" spans="1:4" x14ac:dyDescent="0.2">
      <c r="A768">
        <v>731</v>
      </c>
      <c r="B768" s="58">
        <v>0.69769912334031936</v>
      </c>
      <c r="C768" s="57">
        <v>7508.3511769399865</v>
      </c>
      <c r="D768" s="57">
        <v>10761.588951112397</v>
      </c>
    </row>
    <row r="769" spans="1:4" x14ac:dyDescent="0.2">
      <c r="A769">
        <v>732</v>
      </c>
      <c r="B769" s="58">
        <v>0.75326946890779123</v>
      </c>
      <c r="C769" s="57">
        <v>6632.9447343385891</v>
      </c>
      <c r="D769" s="57">
        <v>8805.5403917486237</v>
      </c>
    </row>
    <row r="770" spans="1:4" x14ac:dyDescent="0.2">
      <c r="A770">
        <v>733</v>
      </c>
      <c r="B770" s="58">
        <v>0.56114933311946835</v>
      </c>
      <c r="C770" s="57">
        <v>6839.4096113023679</v>
      </c>
      <c r="D770" s="57">
        <v>12188.216589836456</v>
      </c>
    </row>
    <row r="771" spans="1:4" x14ac:dyDescent="0.2">
      <c r="A771">
        <v>734</v>
      </c>
      <c r="B771" s="58">
        <v>0.97724894639965054</v>
      </c>
      <c r="C771" s="57">
        <v>6980.1088452553813</v>
      </c>
      <c r="D771" s="57">
        <v>7142.6107656306776</v>
      </c>
    </row>
    <row r="772" spans="1:4" x14ac:dyDescent="0.2">
      <c r="A772">
        <v>735</v>
      </c>
      <c r="B772" s="58">
        <v>0.80430281235569456</v>
      </c>
      <c r="C772" s="57">
        <v>4390.1844352197641</v>
      </c>
      <c r="D772" s="57">
        <v>5458.3726026787172</v>
      </c>
    </row>
    <row r="773" spans="1:4" x14ac:dyDescent="0.2">
      <c r="A773">
        <v>736</v>
      </c>
      <c r="B773" s="58">
        <v>0.78718663397286637</v>
      </c>
      <c r="C773" s="57">
        <v>6821.0863665069337</v>
      </c>
      <c r="D773" s="57">
        <v>8665.145052173295</v>
      </c>
    </row>
    <row r="774" spans="1:4" x14ac:dyDescent="0.2">
      <c r="A774">
        <v>737</v>
      </c>
      <c r="B774" s="58">
        <v>0.72962682463869832</v>
      </c>
      <c r="C774" s="57">
        <v>5321.8751754621353</v>
      </c>
      <c r="D774" s="57">
        <v>7293.9686367718987</v>
      </c>
    </row>
    <row r="775" spans="1:4" x14ac:dyDescent="0.2">
      <c r="A775">
        <v>738</v>
      </c>
      <c r="B775" s="58">
        <v>0.66692291325740882</v>
      </c>
      <c r="C775" s="57">
        <v>8749.2316498802684</v>
      </c>
      <c r="D775" s="57">
        <v>13118.805001236136</v>
      </c>
    </row>
    <row r="776" spans="1:4" x14ac:dyDescent="0.2">
      <c r="A776">
        <v>739</v>
      </c>
      <c r="B776" s="58">
        <v>0.88439403317470244</v>
      </c>
      <c r="C776" s="57">
        <v>5676.9284458453058</v>
      </c>
      <c r="D776" s="57">
        <v>6419.0035582520604</v>
      </c>
    </row>
    <row r="777" spans="1:4" x14ac:dyDescent="0.2">
      <c r="A777">
        <v>740</v>
      </c>
      <c r="B777" s="59">
        <v>1.0991231766186287</v>
      </c>
      <c r="C777" s="60">
        <v>7036.5079121713406</v>
      </c>
      <c r="D777" s="60">
        <v>6401.9284297312679</v>
      </c>
    </row>
    <row r="778" spans="1:4" x14ac:dyDescent="0.2">
      <c r="A778">
        <v>741</v>
      </c>
      <c r="B778" s="58">
        <v>0.90116333170800811</v>
      </c>
      <c r="C778" s="57">
        <v>6727.2669686165245</v>
      </c>
      <c r="D778" s="57">
        <v>7465.0917674003531</v>
      </c>
    </row>
    <row r="779" spans="1:4" x14ac:dyDescent="0.2">
      <c r="A779">
        <v>742</v>
      </c>
      <c r="B779" s="58">
        <v>0.68170896559622562</v>
      </c>
      <c r="C779" s="57">
        <v>6428.6346592513182</v>
      </c>
      <c r="D779" s="57">
        <v>9430.1747280510044</v>
      </c>
    </row>
    <row r="780" spans="1:4" x14ac:dyDescent="0.2">
      <c r="A780">
        <v>743</v>
      </c>
      <c r="B780" s="58">
        <v>0.93680789150203303</v>
      </c>
      <c r="C780" s="57">
        <v>6666.7151328628224</v>
      </c>
      <c r="D780" s="57">
        <v>7116.4164962079149</v>
      </c>
    </row>
    <row r="781" spans="1:4" x14ac:dyDescent="0.2">
      <c r="A781">
        <v>744</v>
      </c>
      <c r="B781" s="58">
        <v>0.71712707406185583</v>
      </c>
      <c r="C781" s="57">
        <v>8163.3926239006942</v>
      </c>
      <c r="D781" s="57">
        <v>11383.467336775742</v>
      </c>
    </row>
    <row r="782" spans="1:4" x14ac:dyDescent="0.2">
      <c r="A782">
        <v>745</v>
      </c>
      <c r="B782" s="58">
        <v>0.87393265259676411</v>
      </c>
      <c r="C782" s="57">
        <v>6873.9336832780027</v>
      </c>
      <c r="D782" s="57">
        <v>7865.5187706433735</v>
      </c>
    </row>
    <row r="783" spans="1:4" x14ac:dyDescent="0.2">
      <c r="A783">
        <v>746</v>
      </c>
      <c r="B783" s="58">
        <v>0.72622447475371388</v>
      </c>
      <c r="C783" s="57">
        <v>8038.2879279503377</v>
      </c>
      <c r="D783" s="57">
        <v>11068.599596118514</v>
      </c>
    </row>
    <row r="784" spans="1:4" x14ac:dyDescent="0.2">
      <c r="A784">
        <v>747</v>
      </c>
      <c r="B784" s="58">
        <v>0.70905439389313862</v>
      </c>
      <c r="C784" s="57">
        <v>7327.8952471456887</v>
      </c>
      <c r="D784" s="57">
        <v>10334.743441770524</v>
      </c>
    </row>
    <row r="785" spans="1:4" x14ac:dyDescent="0.2">
      <c r="A785">
        <v>748</v>
      </c>
      <c r="B785" s="58">
        <v>0.71363777369315606</v>
      </c>
      <c r="C785" s="57">
        <v>7008.0469315397331</v>
      </c>
      <c r="D785" s="57">
        <v>9820.1737490327887</v>
      </c>
    </row>
    <row r="786" spans="1:4" x14ac:dyDescent="0.2">
      <c r="A786">
        <v>749</v>
      </c>
      <c r="B786" s="58">
        <v>0.99286097455309275</v>
      </c>
      <c r="C786" s="57">
        <v>6310.3648371963845</v>
      </c>
      <c r="D786" s="57">
        <v>6355.738616916442</v>
      </c>
    </row>
    <row r="787" spans="1:4" x14ac:dyDescent="0.2">
      <c r="A787">
        <v>750</v>
      </c>
      <c r="B787" s="58">
        <v>0.87968112955497091</v>
      </c>
      <c r="C787" s="57">
        <v>6465.5059745225481</v>
      </c>
      <c r="D787" s="57">
        <v>7349.8291111387553</v>
      </c>
    </row>
    <row r="788" spans="1:4" x14ac:dyDescent="0.2">
      <c r="A788">
        <v>751</v>
      </c>
      <c r="B788" s="58">
        <v>0.80589056701679684</v>
      </c>
      <c r="C788" s="57">
        <v>6277.6860315584345</v>
      </c>
      <c r="D788" s="57">
        <v>7789.7499840416813</v>
      </c>
    </row>
    <row r="789" spans="1:4" x14ac:dyDescent="0.2">
      <c r="A789">
        <v>752</v>
      </c>
      <c r="B789" s="58">
        <v>0.77443986335402393</v>
      </c>
      <c r="C789" s="57">
        <v>8755.1586765977936</v>
      </c>
      <c r="D789" s="57">
        <v>11305.149813285761</v>
      </c>
    </row>
    <row r="790" spans="1:4" x14ac:dyDescent="0.2">
      <c r="A790">
        <v>753</v>
      </c>
      <c r="B790" s="58">
        <v>0.77558395822357262</v>
      </c>
      <c r="C790" s="57">
        <v>8216.3394480040297</v>
      </c>
      <c r="D790" s="57">
        <v>10593.745990857069</v>
      </c>
    </row>
    <row r="791" spans="1:4" x14ac:dyDescent="0.2">
      <c r="A791">
        <v>754</v>
      </c>
      <c r="B791" s="58">
        <v>0.65406949933910674</v>
      </c>
      <c r="C791" s="57">
        <v>7225.0108689929602</v>
      </c>
      <c r="D791" s="57">
        <v>11046.243367552452</v>
      </c>
    </row>
    <row r="792" spans="1:4" x14ac:dyDescent="0.2">
      <c r="A792">
        <v>755</v>
      </c>
      <c r="B792" s="58">
        <v>0.88216730419232903</v>
      </c>
      <c r="C792" s="57">
        <v>5568.6715756259109</v>
      </c>
      <c r="D792" s="57">
        <v>6312.4891946934322</v>
      </c>
    </row>
    <row r="793" spans="1:4" x14ac:dyDescent="0.2">
      <c r="A793">
        <v>756</v>
      </c>
      <c r="B793" s="58">
        <v>0.51886778368868747</v>
      </c>
      <c r="C793" s="57">
        <v>6757.6970134203202</v>
      </c>
      <c r="D793" s="57">
        <v>13023.928688304981</v>
      </c>
    </row>
    <row r="794" spans="1:4" x14ac:dyDescent="0.2">
      <c r="A794">
        <v>757</v>
      </c>
      <c r="B794" s="58">
        <v>1.1706155405631318</v>
      </c>
      <c r="C794" s="57">
        <v>8714.0024584367056</v>
      </c>
      <c r="D794" s="57">
        <v>7443.94906481831</v>
      </c>
    </row>
    <row r="795" spans="1:4" x14ac:dyDescent="0.2">
      <c r="A795">
        <v>758</v>
      </c>
      <c r="B795" s="58">
        <v>0.63435498094316678</v>
      </c>
      <c r="C795" s="57">
        <v>8545.2671553787841</v>
      </c>
      <c r="D795" s="57">
        <v>13470.796970291894</v>
      </c>
    </row>
    <row r="796" spans="1:4" x14ac:dyDescent="0.2">
      <c r="A796">
        <v>759</v>
      </c>
      <c r="B796" s="58">
        <v>1.0865627626082439</v>
      </c>
      <c r="C796" s="57">
        <v>6357.3148800577455</v>
      </c>
      <c r="D796" s="57">
        <v>5850.8492089286256</v>
      </c>
    </row>
    <row r="797" spans="1:4" x14ac:dyDescent="0.2">
      <c r="A797">
        <v>760</v>
      </c>
      <c r="B797" s="58">
        <v>1.0380649006945868</v>
      </c>
      <c r="C797" s="57">
        <v>5236.9693942800513</v>
      </c>
      <c r="D797" s="57">
        <v>5044.9344648642937</v>
      </c>
    </row>
    <row r="798" spans="1:4" x14ac:dyDescent="0.2">
      <c r="A798">
        <v>761</v>
      </c>
      <c r="B798" s="58">
        <v>1.0035195847332394</v>
      </c>
      <c r="C798" s="57">
        <v>6926.8037547447038</v>
      </c>
      <c r="D798" s="57">
        <v>6902.5097866784745</v>
      </c>
    </row>
    <row r="799" spans="1:4" x14ac:dyDescent="0.2">
      <c r="A799">
        <v>762</v>
      </c>
      <c r="B799" s="58">
        <v>0.6286702442075871</v>
      </c>
      <c r="C799" s="57">
        <v>9647.3043435744657</v>
      </c>
      <c r="D799" s="57">
        <v>15345.571756357731</v>
      </c>
    </row>
    <row r="800" spans="1:4" x14ac:dyDescent="0.2">
      <c r="A800">
        <v>763</v>
      </c>
      <c r="B800" s="58">
        <v>0.98699950077878551</v>
      </c>
      <c r="C800" s="57">
        <v>7600.2146296671472</v>
      </c>
      <c r="D800" s="57">
        <v>7700.3226685223726</v>
      </c>
    </row>
    <row r="801" spans="1:4" x14ac:dyDescent="0.2">
      <c r="A801">
        <v>764</v>
      </c>
      <c r="B801" s="58">
        <v>0.77600710040898502</v>
      </c>
      <c r="C801" s="57">
        <v>8383.6566355412233</v>
      </c>
      <c r="D801" s="57">
        <v>10803.582378463701</v>
      </c>
    </row>
    <row r="802" spans="1:4" x14ac:dyDescent="0.2">
      <c r="A802">
        <v>765</v>
      </c>
      <c r="B802" s="58">
        <v>0.82334377126585245</v>
      </c>
      <c r="C802" s="57">
        <v>8756.0995716121488</v>
      </c>
      <c r="D802" s="57">
        <v>10634.803926615072</v>
      </c>
    </row>
    <row r="803" spans="1:4" x14ac:dyDescent="0.2">
      <c r="A803">
        <v>766</v>
      </c>
      <c r="B803" s="58">
        <v>1.0276507721428612</v>
      </c>
      <c r="C803" s="57">
        <v>7517.6746699411342</v>
      </c>
      <c r="D803" s="57">
        <v>7315.3982595325178</v>
      </c>
    </row>
    <row r="804" spans="1:4" x14ac:dyDescent="0.2">
      <c r="A804">
        <v>767</v>
      </c>
      <c r="B804" s="58">
        <v>0.62689486730460153</v>
      </c>
      <c r="C804" s="57">
        <v>7035.7910972620411</v>
      </c>
      <c r="D804" s="57">
        <v>11223.239276967035</v>
      </c>
    </row>
    <row r="805" spans="1:4" x14ac:dyDescent="0.2">
      <c r="A805">
        <v>768</v>
      </c>
      <c r="B805" s="58">
        <v>0.71374056570996025</v>
      </c>
      <c r="C805" s="57">
        <v>6244.0414365655652</v>
      </c>
      <c r="D805" s="57">
        <v>8748.3348103587123</v>
      </c>
    </row>
    <row r="806" spans="1:4" x14ac:dyDescent="0.2">
      <c r="A806">
        <v>769</v>
      </c>
      <c r="B806" s="58">
        <v>0.97295865315971763</v>
      </c>
      <c r="C806" s="57">
        <v>5282.7552859967109</v>
      </c>
      <c r="D806" s="57">
        <v>5429.578398671697</v>
      </c>
    </row>
    <row r="807" spans="1:4" x14ac:dyDescent="0.2">
      <c r="A807">
        <v>770</v>
      </c>
      <c r="B807" s="58">
        <v>0.66368055323423114</v>
      </c>
      <c r="C807" s="57">
        <v>7524.918488670075</v>
      </c>
      <c r="D807" s="57">
        <v>11338.163295579227</v>
      </c>
    </row>
    <row r="808" spans="1:4" x14ac:dyDescent="0.2">
      <c r="A808">
        <v>771</v>
      </c>
      <c r="B808" s="58">
        <v>0.79385767628668802</v>
      </c>
      <c r="C808" s="57">
        <v>8110.2148225106375</v>
      </c>
      <c r="D808" s="57">
        <v>10216.207595858496</v>
      </c>
    </row>
    <row r="809" spans="1:4" x14ac:dyDescent="0.2">
      <c r="A809">
        <v>772</v>
      </c>
      <c r="B809" s="58">
        <v>0.60994285626016786</v>
      </c>
      <c r="C809" s="57">
        <v>8616.9813616347146</v>
      </c>
      <c r="D809" s="57">
        <v>14127.522395244167</v>
      </c>
    </row>
    <row r="810" spans="1:4" x14ac:dyDescent="0.2">
      <c r="A810">
        <v>773</v>
      </c>
      <c r="B810" s="58">
        <v>0.67483107863962033</v>
      </c>
      <c r="C810" s="57">
        <v>7159.1891919180416</v>
      </c>
      <c r="D810" s="57">
        <v>10608.861118770819</v>
      </c>
    </row>
    <row r="811" spans="1:4" x14ac:dyDescent="0.2">
      <c r="A811">
        <v>774</v>
      </c>
      <c r="B811" s="58">
        <v>0.75522799606443947</v>
      </c>
      <c r="C811" s="57">
        <v>7738.0384610214742</v>
      </c>
      <c r="D811" s="57">
        <v>10245.963472415064</v>
      </c>
    </row>
    <row r="812" spans="1:4" x14ac:dyDescent="0.2">
      <c r="A812">
        <v>775</v>
      </c>
      <c r="B812" s="58">
        <v>0.83196981175320062</v>
      </c>
      <c r="C812" s="57">
        <v>8263.4014588227492</v>
      </c>
      <c r="D812" s="57">
        <v>9932.3332915281826</v>
      </c>
    </row>
    <row r="813" spans="1:4" x14ac:dyDescent="0.2">
      <c r="A813">
        <v>776</v>
      </c>
      <c r="B813" s="58">
        <v>0.80789971409782435</v>
      </c>
      <c r="C813" s="57">
        <v>6787.850634865601</v>
      </c>
      <c r="D813" s="57">
        <v>8401.8480467536046</v>
      </c>
    </row>
    <row r="814" spans="1:4" x14ac:dyDescent="0.2">
      <c r="A814">
        <v>777</v>
      </c>
      <c r="B814" s="58">
        <v>0.99842252312030766</v>
      </c>
      <c r="C814" s="57">
        <v>7201.0684686379227</v>
      </c>
      <c r="D814" s="57">
        <v>7212.4459353469638</v>
      </c>
    </row>
    <row r="815" spans="1:4" x14ac:dyDescent="0.2">
      <c r="A815">
        <v>778</v>
      </c>
      <c r="B815" s="58">
        <v>0.83813422449094865</v>
      </c>
      <c r="C815" s="57">
        <v>7779.6339807227123</v>
      </c>
      <c r="D815" s="57">
        <v>9282.0860351428437</v>
      </c>
    </row>
    <row r="816" spans="1:4" x14ac:dyDescent="0.2">
      <c r="A816">
        <v>779</v>
      </c>
      <c r="B816" s="58">
        <v>0.74593501182337096</v>
      </c>
      <c r="C816" s="57">
        <v>6685.8823983154798</v>
      </c>
      <c r="D816" s="57">
        <v>8963.089669128738</v>
      </c>
    </row>
    <row r="817" spans="1:4" x14ac:dyDescent="0.2">
      <c r="A817">
        <v>780</v>
      </c>
      <c r="B817" s="58">
        <v>0.70529512236350023</v>
      </c>
      <c r="C817" s="57">
        <v>7557.9809641849833</v>
      </c>
      <c r="D817" s="57">
        <v>10716.054491994197</v>
      </c>
    </row>
    <row r="818" spans="1:4" x14ac:dyDescent="0.2">
      <c r="A818">
        <v>781</v>
      </c>
      <c r="B818" s="59">
        <v>0.65010767172345219</v>
      </c>
      <c r="C818" s="60">
        <v>6267.3733391170263</v>
      </c>
      <c r="D818" s="60">
        <v>9640.5158894711367</v>
      </c>
    </row>
    <row r="819" spans="1:4" x14ac:dyDescent="0.2">
      <c r="A819">
        <v>782</v>
      </c>
      <c r="B819" s="58">
        <v>0.78790681557777287</v>
      </c>
      <c r="C819" s="57">
        <v>6267.756391810206</v>
      </c>
      <c r="D819" s="57">
        <v>7954.9462803086099</v>
      </c>
    </row>
    <row r="820" spans="1:4" x14ac:dyDescent="0.2">
      <c r="A820">
        <v>783</v>
      </c>
      <c r="B820" s="58">
        <v>0.71230543780683409</v>
      </c>
      <c r="C820" s="57">
        <v>6478.767727169552</v>
      </c>
      <c r="D820" s="57">
        <v>9095.4910397953336</v>
      </c>
    </row>
    <row r="821" spans="1:4" x14ac:dyDescent="0.2">
      <c r="A821">
        <v>784</v>
      </c>
      <c r="B821" s="58">
        <v>0.61968114673988417</v>
      </c>
      <c r="C821" s="57">
        <v>7296.975649394466</v>
      </c>
      <c r="D821" s="57">
        <v>11775.371395085263</v>
      </c>
    </row>
    <row r="822" spans="1:4" x14ac:dyDescent="0.2">
      <c r="A822">
        <v>785</v>
      </c>
      <c r="B822" s="58">
        <v>0.76263826253258316</v>
      </c>
      <c r="C822" s="57">
        <v>7065.0947908569269</v>
      </c>
      <c r="D822" s="57">
        <v>9264.0182612855406</v>
      </c>
    </row>
    <row r="823" spans="1:4" x14ac:dyDescent="0.2">
      <c r="A823">
        <v>786</v>
      </c>
      <c r="B823" s="58">
        <v>0.93738335621676505</v>
      </c>
      <c r="C823" s="57">
        <v>6029.4715060166345</v>
      </c>
      <c r="D823" s="57">
        <v>6432.2365721867482</v>
      </c>
    </row>
    <row r="824" spans="1:4" x14ac:dyDescent="0.2">
      <c r="A824">
        <v>787</v>
      </c>
      <c r="B824" s="58">
        <v>0.89530234954745058</v>
      </c>
      <c r="C824" s="57">
        <v>7157.626526134407</v>
      </c>
      <c r="D824" s="57">
        <v>7994.6473163533865</v>
      </c>
    </row>
    <row r="825" spans="1:4" x14ac:dyDescent="0.2">
      <c r="A825">
        <v>788</v>
      </c>
      <c r="B825" s="58">
        <v>0.71169926937348293</v>
      </c>
      <c r="C825" s="57">
        <v>7755.3887168479368</v>
      </c>
      <c r="D825" s="57">
        <v>10897.002498927804</v>
      </c>
    </row>
    <row r="826" spans="1:4" x14ac:dyDescent="0.2">
      <c r="A826">
        <v>789</v>
      </c>
      <c r="B826" s="58">
        <v>0.82374183374112508</v>
      </c>
      <c r="C826" s="57">
        <v>7224.7265061910148</v>
      </c>
      <c r="D826" s="57">
        <v>8770.6198838767596</v>
      </c>
    </row>
    <row r="827" spans="1:4" x14ac:dyDescent="0.2">
      <c r="A827">
        <v>790</v>
      </c>
      <c r="B827" s="58">
        <v>0.77781000072424078</v>
      </c>
      <c r="C827" s="57">
        <v>6553.8424388906478</v>
      </c>
      <c r="D827" s="57">
        <v>8426.0197641945724</v>
      </c>
    </row>
    <row r="828" spans="1:4" x14ac:dyDescent="0.2">
      <c r="A828">
        <v>791</v>
      </c>
      <c r="B828" s="58">
        <v>0.84264121456742203</v>
      </c>
      <c r="C828" s="57">
        <v>8300.5666411241054</v>
      </c>
      <c r="D828" s="57">
        <v>9850.6535137677565</v>
      </c>
    </row>
    <row r="829" spans="1:4" x14ac:dyDescent="0.2">
      <c r="A829">
        <v>792</v>
      </c>
      <c r="B829" s="58">
        <v>0.92377720243220907</v>
      </c>
      <c r="C829" s="57">
        <v>7658.5359014678197</v>
      </c>
      <c r="D829" s="57">
        <v>8290.4577871197653</v>
      </c>
    </row>
    <row r="830" spans="1:4" x14ac:dyDescent="0.2">
      <c r="A830">
        <v>793</v>
      </c>
      <c r="B830" s="58">
        <v>0.73076468186719801</v>
      </c>
      <c r="C830" s="57">
        <v>7664.7143772438139</v>
      </c>
      <c r="D830" s="57">
        <v>10488.621805940977</v>
      </c>
    </row>
    <row r="831" spans="1:4" x14ac:dyDescent="0.2">
      <c r="A831">
        <v>794</v>
      </c>
      <c r="B831" s="58">
        <v>0.90734517039282192</v>
      </c>
      <c r="C831" s="57">
        <v>4821.7296240056548</v>
      </c>
      <c r="D831" s="57">
        <v>5314.1073335058991</v>
      </c>
    </row>
    <row r="832" spans="1:4" x14ac:dyDescent="0.2">
      <c r="A832">
        <v>795</v>
      </c>
      <c r="B832" s="58">
        <v>0.68626937749361527</v>
      </c>
      <c r="C832" s="57">
        <v>6750.8744863393104</v>
      </c>
      <c r="D832" s="57">
        <v>9837.0621037977435</v>
      </c>
    </row>
    <row r="833" spans="1:4" x14ac:dyDescent="0.2">
      <c r="A833">
        <v>796</v>
      </c>
      <c r="B833" s="58">
        <v>0.85832447849439308</v>
      </c>
      <c r="C833" s="57">
        <v>7578.6577295289489</v>
      </c>
      <c r="D833" s="57">
        <v>8829.5952398128611</v>
      </c>
    </row>
    <row r="834" spans="1:4" x14ac:dyDescent="0.2">
      <c r="A834">
        <v>797</v>
      </c>
      <c r="B834" s="58">
        <v>0.80353098192357209</v>
      </c>
      <c r="C834" s="57">
        <v>6796.906249842079</v>
      </c>
      <c r="D834" s="57">
        <v>8458.7979838325227</v>
      </c>
    </row>
    <row r="835" spans="1:4" x14ac:dyDescent="0.2">
      <c r="A835">
        <v>798</v>
      </c>
      <c r="B835" s="58">
        <v>0.99007124068757957</v>
      </c>
      <c r="C835" s="57">
        <v>6130.4236919716132</v>
      </c>
      <c r="D835" s="57">
        <v>6191.901592570438</v>
      </c>
    </row>
    <row r="836" spans="1:4" x14ac:dyDescent="0.2">
      <c r="A836">
        <v>799</v>
      </c>
      <c r="B836" s="58">
        <v>0.69734698624765912</v>
      </c>
      <c r="C836" s="57">
        <v>9738.1098559309357</v>
      </c>
      <c r="D836" s="57">
        <v>13964.511280575747</v>
      </c>
    </row>
    <row r="837" spans="1:4" x14ac:dyDescent="0.2">
      <c r="A837">
        <v>800</v>
      </c>
      <c r="B837" s="58">
        <v>1.0996983043993547</v>
      </c>
      <c r="C837" s="57">
        <v>6075.9766240282934</v>
      </c>
      <c r="D837" s="57">
        <v>5525.1304832618953</v>
      </c>
    </row>
    <row r="838" spans="1:4" x14ac:dyDescent="0.2">
      <c r="A838">
        <v>801</v>
      </c>
      <c r="B838" s="58">
        <v>0.86208200786112066</v>
      </c>
      <c r="C838" s="57">
        <v>7183.8206257454458</v>
      </c>
      <c r="D838" s="57">
        <v>8333.1058533154555</v>
      </c>
    </row>
    <row r="839" spans="1:4" x14ac:dyDescent="0.2">
      <c r="A839">
        <v>802</v>
      </c>
      <c r="B839" s="58">
        <v>1.0336056802456239</v>
      </c>
      <c r="C839" s="57">
        <v>8240.9103318258112</v>
      </c>
      <c r="D839" s="57">
        <v>7972.9731456849759</v>
      </c>
    </row>
    <row r="840" spans="1:4" x14ac:dyDescent="0.2">
      <c r="A840">
        <v>803</v>
      </c>
      <c r="B840" s="58">
        <v>0.86506340454749608</v>
      </c>
      <c r="C840" s="57">
        <v>6567.2211340022459</v>
      </c>
      <c r="D840" s="57">
        <v>7591.6066955086117</v>
      </c>
    </row>
    <row r="841" spans="1:4" x14ac:dyDescent="0.2">
      <c r="A841">
        <v>804</v>
      </c>
      <c r="B841" s="58">
        <v>1.0733280845272795</v>
      </c>
      <c r="C841" s="57">
        <v>5785.2929161429856</v>
      </c>
      <c r="D841" s="57">
        <v>5390.050814417079</v>
      </c>
    </row>
    <row r="842" spans="1:4" x14ac:dyDescent="0.2">
      <c r="A842">
        <v>805</v>
      </c>
      <c r="B842" s="58">
        <v>0.87431387444961484</v>
      </c>
      <c r="C842" s="57">
        <v>7696.8506942464137</v>
      </c>
      <c r="D842" s="57">
        <v>8803.3038467925744</v>
      </c>
    </row>
    <row r="843" spans="1:4" x14ac:dyDescent="0.2">
      <c r="A843">
        <v>806</v>
      </c>
      <c r="B843" s="58">
        <v>0.86364375561448092</v>
      </c>
      <c r="C843" s="57">
        <v>5708.1238608530239</v>
      </c>
      <c r="D843" s="57">
        <v>6609.3500054217429</v>
      </c>
    </row>
    <row r="844" spans="1:4" x14ac:dyDescent="0.2">
      <c r="A844">
        <v>807</v>
      </c>
      <c r="B844" s="58">
        <v>0.62715501640390769</v>
      </c>
      <c r="C844" s="57">
        <v>7963.4258762371992</v>
      </c>
      <c r="D844" s="57">
        <v>12697.699401177237</v>
      </c>
    </row>
    <row r="845" spans="1:4" x14ac:dyDescent="0.2">
      <c r="A845">
        <v>808</v>
      </c>
      <c r="B845" s="59">
        <v>0.61848120416918029</v>
      </c>
      <c r="C845" s="60">
        <v>7789.336580000092</v>
      </c>
      <c r="D845" s="60">
        <v>12594.297979457086</v>
      </c>
    </row>
    <row r="846" spans="1:4" x14ac:dyDescent="0.2">
      <c r="A846">
        <v>809</v>
      </c>
      <c r="B846" s="58">
        <v>1.0842275986808181</v>
      </c>
      <c r="C846" s="57">
        <v>6555.1942426397381</v>
      </c>
      <c r="D846" s="57">
        <v>6045.9577404370229</v>
      </c>
    </row>
    <row r="847" spans="1:4" x14ac:dyDescent="0.2">
      <c r="A847">
        <v>810</v>
      </c>
      <c r="B847" s="58">
        <v>1.2206620217793676</v>
      </c>
      <c r="C847" s="57">
        <v>6681.7622979931675</v>
      </c>
      <c r="D847" s="57">
        <v>5473.8839898149008</v>
      </c>
    </row>
    <row r="848" spans="1:4" x14ac:dyDescent="0.2">
      <c r="A848">
        <v>811</v>
      </c>
      <c r="B848" s="58">
        <v>1.1439244650226641</v>
      </c>
      <c r="C848" s="57">
        <v>6718.4659931464303</v>
      </c>
      <c r="D848" s="57">
        <v>5873.1727474797208</v>
      </c>
    </row>
    <row r="849" spans="1:4" x14ac:dyDescent="0.2">
      <c r="A849">
        <v>812</v>
      </c>
      <c r="B849" s="58">
        <v>0.92503065918418059</v>
      </c>
      <c r="C849" s="57">
        <v>6943.987512292324</v>
      </c>
      <c r="D849" s="57">
        <v>7506.7647146057716</v>
      </c>
    </row>
    <row r="850" spans="1:4" x14ac:dyDescent="0.2">
      <c r="A850">
        <v>813</v>
      </c>
      <c r="B850" s="58">
        <v>0.8665260303487301</v>
      </c>
      <c r="C850" s="57">
        <v>8099.5014096676332</v>
      </c>
      <c r="D850" s="57">
        <v>9347.0953277745393</v>
      </c>
    </row>
    <row r="851" spans="1:4" x14ac:dyDescent="0.2">
      <c r="A851">
        <v>814</v>
      </c>
      <c r="B851" s="58">
        <v>0.60435625601569143</v>
      </c>
      <c r="C851" s="57">
        <v>8186.1388066092441</v>
      </c>
      <c r="D851" s="57">
        <v>13545.220596503101</v>
      </c>
    </row>
    <row r="852" spans="1:4" x14ac:dyDescent="0.2">
      <c r="A852">
        <v>815</v>
      </c>
      <c r="B852" s="58">
        <v>0.96528135545673255</v>
      </c>
      <c r="C852" s="57">
        <v>7158.1569587012455</v>
      </c>
      <c r="D852" s="57">
        <v>7415.6171340471938</v>
      </c>
    </row>
    <row r="853" spans="1:4" x14ac:dyDescent="0.2">
      <c r="A853">
        <v>816</v>
      </c>
      <c r="B853" s="58">
        <v>0.79243898863279671</v>
      </c>
      <c r="C853" s="57">
        <v>5687.0387653480302</v>
      </c>
      <c r="D853" s="57">
        <v>7176.6266512958146</v>
      </c>
    </row>
    <row r="854" spans="1:4" x14ac:dyDescent="0.2">
      <c r="A854">
        <v>817</v>
      </c>
      <c r="B854" s="58">
        <v>0.85959346865597386</v>
      </c>
      <c r="C854" s="57">
        <v>7343.5318590407514</v>
      </c>
      <c r="D854" s="57">
        <v>8543.0289163583402</v>
      </c>
    </row>
    <row r="855" spans="1:4" x14ac:dyDescent="0.2">
      <c r="A855">
        <v>818</v>
      </c>
      <c r="B855" s="58">
        <v>0.7945795673627325</v>
      </c>
      <c r="C855" s="57">
        <v>5814.3525219791027</v>
      </c>
      <c r="D855" s="57">
        <v>7317.5208132740718</v>
      </c>
    </row>
    <row r="856" spans="1:4" x14ac:dyDescent="0.2">
      <c r="A856">
        <v>819</v>
      </c>
      <c r="B856" s="58">
        <v>0.71171318012824791</v>
      </c>
      <c r="C856" s="57">
        <v>7567.3943529590606</v>
      </c>
      <c r="D856" s="57">
        <v>10632.646077448568</v>
      </c>
    </row>
    <row r="857" spans="1:4" x14ac:dyDescent="0.2">
      <c r="A857">
        <v>820</v>
      </c>
      <c r="B857" s="58">
        <v>0.95910030880952224</v>
      </c>
      <c r="C857" s="57">
        <v>7042.1542295439631</v>
      </c>
      <c r="D857" s="57">
        <v>7342.4585154028327</v>
      </c>
    </row>
    <row r="858" spans="1:4" x14ac:dyDescent="0.2">
      <c r="A858">
        <v>821</v>
      </c>
      <c r="B858" s="58">
        <v>0.59415573972422031</v>
      </c>
      <c r="C858" s="57">
        <v>7416.8423257506474</v>
      </c>
      <c r="D858" s="57">
        <v>12482.993649431382</v>
      </c>
    </row>
    <row r="859" spans="1:4" x14ac:dyDescent="0.2">
      <c r="A859">
        <v>822</v>
      </c>
      <c r="B859" s="58">
        <v>0.86270898350315406</v>
      </c>
      <c r="C859" s="57">
        <v>7015.4291047326751</v>
      </c>
      <c r="D859" s="57">
        <v>8131.8604985953834</v>
      </c>
    </row>
    <row r="860" spans="1:4" x14ac:dyDescent="0.2">
      <c r="A860">
        <v>823</v>
      </c>
      <c r="B860" s="58">
        <v>0.99235181902581182</v>
      </c>
      <c r="C860" s="57">
        <v>7224.5221057456565</v>
      </c>
      <c r="D860" s="57">
        <v>7280.2024113161233</v>
      </c>
    </row>
    <row r="861" spans="1:4" x14ac:dyDescent="0.2">
      <c r="A861">
        <v>824</v>
      </c>
      <c r="B861" s="58">
        <v>0.72236861466150071</v>
      </c>
      <c r="C861" s="57">
        <v>6772.573762589398</v>
      </c>
      <c r="D861" s="57">
        <v>9375.5094353912391</v>
      </c>
    </row>
    <row r="862" spans="1:4" x14ac:dyDescent="0.2">
      <c r="A862">
        <v>825</v>
      </c>
      <c r="B862" s="58">
        <v>0.98570228676780403</v>
      </c>
      <c r="C862" s="57">
        <v>8127.1878706445841</v>
      </c>
      <c r="D862" s="57">
        <v>8245.0735680996313</v>
      </c>
    </row>
    <row r="863" spans="1:4" x14ac:dyDescent="0.2">
      <c r="A863">
        <v>826</v>
      </c>
      <c r="B863" s="58">
        <v>0.92481226920591197</v>
      </c>
      <c r="C863" s="57">
        <v>6359.3399809796701</v>
      </c>
      <c r="D863" s="57">
        <v>6876.3577135931637</v>
      </c>
    </row>
    <row r="864" spans="1:4" x14ac:dyDescent="0.2">
      <c r="A864">
        <v>827</v>
      </c>
      <c r="B864" s="58">
        <v>0.77361061921001806</v>
      </c>
      <c r="C864" s="57">
        <v>7822.9548239819514</v>
      </c>
      <c r="D864" s="57">
        <v>10112.264012056165</v>
      </c>
    </row>
    <row r="865" spans="1:4" x14ac:dyDescent="0.2">
      <c r="A865">
        <v>828</v>
      </c>
      <c r="B865" s="58">
        <v>0.74497970140658332</v>
      </c>
      <c r="C865" s="57">
        <v>7828.5055187455855</v>
      </c>
      <c r="D865" s="57">
        <v>10508.34741398285</v>
      </c>
    </row>
    <row r="866" spans="1:4" x14ac:dyDescent="0.2">
      <c r="A866">
        <v>829</v>
      </c>
      <c r="B866" s="58">
        <v>0.93897865095559219</v>
      </c>
      <c r="C866" s="57">
        <v>8129.5250657050601</v>
      </c>
      <c r="D866" s="57">
        <v>8657.8380215904781</v>
      </c>
    </row>
    <row r="867" spans="1:4" x14ac:dyDescent="0.2">
      <c r="A867">
        <v>830</v>
      </c>
      <c r="B867" s="58">
        <v>0.77548020084653491</v>
      </c>
      <c r="C867" s="57">
        <v>7136.917545580005</v>
      </c>
      <c r="D867" s="57">
        <v>9203.2234192299875</v>
      </c>
    </row>
    <row r="868" spans="1:4" x14ac:dyDescent="0.2">
      <c r="A868">
        <v>831</v>
      </c>
      <c r="B868" s="58">
        <v>1.0418729794169659</v>
      </c>
      <c r="C868" s="57">
        <v>8385.8851544825866</v>
      </c>
      <c r="D868" s="57">
        <v>8048.8555900310839</v>
      </c>
    </row>
    <row r="869" spans="1:4" x14ac:dyDescent="0.2">
      <c r="A869">
        <v>832</v>
      </c>
      <c r="B869" s="58">
        <v>0.9006860610724452</v>
      </c>
      <c r="C869" s="57">
        <v>4372.1595783086723</v>
      </c>
      <c r="D869" s="57">
        <v>4854.2547367755978</v>
      </c>
    </row>
    <row r="870" spans="1:4" x14ac:dyDescent="0.2">
      <c r="A870">
        <v>833</v>
      </c>
      <c r="B870" s="58">
        <v>1.0106977503134882</v>
      </c>
      <c r="C870" s="57">
        <v>7171.2853036944434</v>
      </c>
      <c r="D870" s="57">
        <v>7095.3806926651669</v>
      </c>
    </row>
    <row r="871" spans="1:4" x14ac:dyDescent="0.2">
      <c r="A871">
        <v>834</v>
      </c>
      <c r="B871" s="58">
        <v>0.81573305052535972</v>
      </c>
      <c r="C871" s="57">
        <v>7630.1618100761079</v>
      </c>
      <c r="D871" s="57">
        <v>9353.7485151080073</v>
      </c>
    </row>
    <row r="872" spans="1:4" x14ac:dyDescent="0.2">
      <c r="A872">
        <v>835</v>
      </c>
      <c r="B872" s="58">
        <v>0.97888022384732487</v>
      </c>
      <c r="C872" s="57">
        <v>6135.1846972991334</v>
      </c>
      <c r="D872" s="57">
        <v>6267.5540355548474</v>
      </c>
    </row>
    <row r="873" spans="1:4" x14ac:dyDescent="0.2">
      <c r="A873">
        <v>836</v>
      </c>
      <c r="B873" s="58">
        <v>0.85983457302323885</v>
      </c>
      <c r="C873" s="57">
        <v>7974.6100493305094</v>
      </c>
      <c r="D873" s="57">
        <v>9274.5864140950034</v>
      </c>
    </row>
    <row r="874" spans="1:4" x14ac:dyDescent="0.2">
      <c r="A874">
        <v>837</v>
      </c>
      <c r="B874" s="58">
        <v>0.88926475871630739</v>
      </c>
      <c r="C874" s="57">
        <v>8963.7847213818513</v>
      </c>
      <c r="D874" s="57">
        <v>10079.995449635795</v>
      </c>
    </row>
    <row r="875" spans="1:4" x14ac:dyDescent="0.2">
      <c r="A875">
        <v>838</v>
      </c>
      <c r="B875" s="58">
        <v>0.8409743735107158</v>
      </c>
      <c r="C875" s="57">
        <v>7231.6893687181546</v>
      </c>
      <c r="D875" s="57">
        <v>8599.179233641662</v>
      </c>
    </row>
    <row r="876" spans="1:4" x14ac:dyDescent="0.2">
      <c r="A876">
        <v>839</v>
      </c>
      <c r="B876" s="58">
        <v>0.94596788133099974</v>
      </c>
      <c r="C876" s="57">
        <v>7500.9108025097394</v>
      </c>
      <c r="D876" s="57">
        <v>7929.3504045356976</v>
      </c>
    </row>
    <row r="877" spans="1:4" x14ac:dyDescent="0.2">
      <c r="A877">
        <v>840</v>
      </c>
      <c r="B877" s="58">
        <v>0.71600945723396414</v>
      </c>
      <c r="C877" s="57">
        <v>7937.7543989758069</v>
      </c>
      <c r="D877" s="57">
        <v>11086.10273059851</v>
      </c>
    </row>
    <row r="878" spans="1:4" x14ac:dyDescent="0.2">
      <c r="A878">
        <v>841</v>
      </c>
      <c r="B878" s="58">
        <v>0.82866221321830658</v>
      </c>
      <c r="C878" s="57">
        <v>5861.6416437922453</v>
      </c>
      <c r="D878" s="57">
        <v>7073.6200472170285</v>
      </c>
    </row>
    <row r="879" spans="1:4" x14ac:dyDescent="0.2">
      <c r="A879">
        <v>842</v>
      </c>
      <c r="B879" s="58">
        <v>0.90684907864935305</v>
      </c>
      <c r="C879" s="57">
        <v>5735.4150892904181</v>
      </c>
      <c r="D879" s="57">
        <v>6324.553031285709</v>
      </c>
    </row>
    <row r="880" spans="1:4" x14ac:dyDescent="0.2">
      <c r="A880">
        <v>843</v>
      </c>
      <c r="B880" s="58">
        <v>1.0216409514142439</v>
      </c>
      <c r="C880" s="57">
        <v>4657.4814632535436</v>
      </c>
      <c r="D880" s="57">
        <v>4558.824170865757</v>
      </c>
    </row>
    <row r="881" spans="1:4" x14ac:dyDescent="0.2">
      <c r="A881">
        <v>844</v>
      </c>
      <c r="B881" s="58">
        <v>0.93375639925114129</v>
      </c>
      <c r="C881" s="57">
        <v>8640.9775477704407</v>
      </c>
      <c r="D881" s="57">
        <v>9253.9955332037098</v>
      </c>
    </row>
    <row r="882" spans="1:4" x14ac:dyDescent="0.2">
      <c r="A882">
        <v>845</v>
      </c>
      <c r="B882" s="58">
        <v>0.6894883258026745</v>
      </c>
      <c r="C882" s="57">
        <v>7439.7954314458984</v>
      </c>
      <c r="D882" s="57">
        <v>10790.313850179826</v>
      </c>
    </row>
    <row r="883" spans="1:4" x14ac:dyDescent="0.2">
      <c r="A883">
        <v>846</v>
      </c>
      <c r="B883" s="58">
        <v>0.90427247153292267</v>
      </c>
      <c r="C883" s="57">
        <v>6611.043547919724</v>
      </c>
      <c r="D883" s="57">
        <v>7310.897717269534</v>
      </c>
    </row>
    <row r="884" spans="1:4" x14ac:dyDescent="0.2">
      <c r="A884">
        <v>847</v>
      </c>
      <c r="B884" s="58">
        <v>0.82555123411456677</v>
      </c>
      <c r="C884" s="57">
        <v>4818.124252704738</v>
      </c>
      <c r="D884" s="57">
        <v>5836.2510448819676</v>
      </c>
    </row>
    <row r="885" spans="1:4" x14ac:dyDescent="0.2">
      <c r="A885">
        <v>848</v>
      </c>
      <c r="B885" s="58">
        <v>0.86906154836820271</v>
      </c>
      <c r="C885" s="57">
        <v>8332.4505397101057</v>
      </c>
      <c r="D885" s="57">
        <v>9587.8716016783492</v>
      </c>
    </row>
    <row r="886" spans="1:4" x14ac:dyDescent="0.2">
      <c r="A886">
        <v>849</v>
      </c>
      <c r="B886" s="58">
        <v>0.94359393602460706</v>
      </c>
      <c r="C886" s="57">
        <v>6284.7488776007158</v>
      </c>
      <c r="D886" s="57">
        <v>6660.4379677115921</v>
      </c>
    </row>
    <row r="887" spans="1:4" x14ac:dyDescent="0.2">
      <c r="A887">
        <v>850</v>
      </c>
      <c r="B887" s="58">
        <v>0.76514127616841954</v>
      </c>
      <c r="C887" s="57">
        <v>7146.1453230080951</v>
      </c>
      <c r="D887" s="57">
        <v>9339.6416395069991</v>
      </c>
    </row>
    <row r="888" spans="1:4" x14ac:dyDescent="0.2">
      <c r="A888">
        <v>851</v>
      </c>
      <c r="B888" s="58">
        <v>0.77874962741989773</v>
      </c>
      <c r="C888" s="57">
        <v>6869.7848160237481</v>
      </c>
      <c r="D888" s="57">
        <v>8821.55775635395</v>
      </c>
    </row>
    <row r="889" spans="1:4" x14ac:dyDescent="0.2">
      <c r="A889">
        <v>852</v>
      </c>
      <c r="B889" s="59">
        <v>0.99520601275577025</v>
      </c>
      <c r="C889" s="60">
        <v>7848.7594958410264</v>
      </c>
      <c r="D889" s="60">
        <v>7886.567600317705</v>
      </c>
    </row>
    <row r="890" spans="1:4" x14ac:dyDescent="0.2">
      <c r="A890">
        <v>853</v>
      </c>
      <c r="B890" s="58">
        <v>0.92104440034250601</v>
      </c>
      <c r="C890" s="57">
        <v>6615.8721196807419</v>
      </c>
      <c r="D890" s="57">
        <v>7183.0110657211717</v>
      </c>
    </row>
    <row r="891" spans="1:4" x14ac:dyDescent="0.2">
      <c r="A891">
        <v>854</v>
      </c>
      <c r="B891" s="58">
        <v>0.9245662264970731</v>
      </c>
      <c r="C891" s="57">
        <v>7781.4883376866419</v>
      </c>
      <c r="D891" s="57">
        <v>8416.3666319162003</v>
      </c>
    </row>
    <row r="892" spans="1:4" x14ac:dyDescent="0.2">
      <c r="A892">
        <v>855</v>
      </c>
      <c r="B892" s="58">
        <v>0.64105519244496278</v>
      </c>
      <c r="C892" s="57">
        <v>6979.282684118396</v>
      </c>
      <c r="D892" s="57">
        <v>10887.179085937434</v>
      </c>
    </row>
    <row r="893" spans="1:4" x14ac:dyDescent="0.2">
      <c r="A893">
        <v>856</v>
      </c>
      <c r="B893" s="58">
        <v>0.97415892072864008</v>
      </c>
      <c r="C893" s="57">
        <v>6189.530665076325</v>
      </c>
      <c r="D893" s="57">
        <v>6353.7175848543802</v>
      </c>
    </row>
    <row r="894" spans="1:4" x14ac:dyDescent="0.2">
      <c r="A894">
        <v>857</v>
      </c>
      <c r="B894" s="58">
        <v>0.93306800989778793</v>
      </c>
      <c r="C894" s="57">
        <v>6272.7387662898509</v>
      </c>
      <c r="D894" s="57">
        <v>6722.7026323375849</v>
      </c>
    </row>
    <row r="895" spans="1:4" x14ac:dyDescent="0.2">
      <c r="A895">
        <v>858</v>
      </c>
      <c r="B895" s="58">
        <v>1.0658174102795739</v>
      </c>
      <c r="C895" s="57">
        <v>8510.9774644443114</v>
      </c>
      <c r="D895" s="57">
        <v>7985.3991709628781</v>
      </c>
    </row>
    <row r="896" spans="1:4" x14ac:dyDescent="0.2">
      <c r="A896">
        <v>859</v>
      </c>
      <c r="B896" s="58">
        <v>0.86760216302924675</v>
      </c>
      <c r="C896" s="57">
        <v>6003.5125133464235</v>
      </c>
      <c r="D896" s="57">
        <v>6919.6606107862435</v>
      </c>
    </row>
    <row r="897" spans="1:4" x14ac:dyDescent="0.2">
      <c r="A897">
        <v>860</v>
      </c>
      <c r="B897" s="58">
        <v>0.83470041625729063</v>
      </c>
      <c r="C897" s="57">
        <v>7387.842212652864</v>
      </c>
      <c r="D897" s="57">
        <v>8850.8907732179832</v>
      </c>
    </row>
    <row r="898" spans="1:4" x14ac:dyDescent="0.2">
      <c r="A898">
        <v>861</v>
      </c>
      <c r="B898" s="58">
        <v>0.90944735555781442</v>
      </c>
      <c r="C898" s="57">
        <v>7688.0811239067671</v>
      </c>
      <c r="D898" s="57">
        <v>8453.5746647932592</v>
      </c>
    </row>
    <row r="899" spans="1:4" x14ac:dyDescent="0.2">
      <c r="A899">
        <v>862</v>
      </c>
      <c r="B899" s="58">
        <v>0.66145662810900774</v>
      </c>
      <c r="C899" s="57">
        <v>9208.2905107993884</v>
      </c>
      <c r="D899" s="57">
        <v>13921.230991553186</v>
      </c>
    </row>
    <row r="900" spans="1:4" x14ac:dyDescent="0.2">
      <c r="A900">
        <v>863</v>
      </c>
      <c r="B900" s="58">
        <v>0.97327890696941211</v>
      </c>
      <c r="C900" s="57">
        <v>5468.4422670244603</v>
      </c>
      <c r="D900" s="57">
        <v>5618.5767798585621</v>
      </c>
    </row>
    <row r="901" spans="1:4" x14ac:dyDescent="0.2">
      <c r="A901">
        <v>864</v>
      </c>
      <c r="B901" s="58">
        <v>0.7817117154768134</v>
      </c>
      <c r="C901" s="57">
        <v>6668.6696832293619</v>
      </c>
      <c r="D901" s="57">
        <v>8530.8554946777731</v>
      </c>
    </row>
    <row r="902" spans="1:4" x14ac:dyDescent="0.2">
      <c r="A902">
        <v>865</v>
      </c>
      <c r="B902" s="58">
        <v>0.75113544154333667</v>
      </c>
      <c r="C902" s="57">
        <v>6232.0926441056963</v>
      </c>
      <c r="D902" s="57">
        <v>8296.8960049345987</v>
      </c>
    </row>
    <row r="903" spans="1:4" x14ac:dyDescent="0.2">
      <c r="A903">
        <v>866</v>
      </c>
      <c r="B903" s="58">
        <v>0.54395896298938684</v>
      </c>
      <c r="C903" s="57">
        <v>8837.4831307684908</v>
      </c>
      <c r="D903" s="57">
        <v>16246.598975410059</v>
      </c>
    </row>
    <row r="904" spans="1:4" x14ac:dyDescent="0.2">
      <c r="A904">
        <v>867</v>
      </c>
      <c r="B904" s="58">
        <v>0.74600507066150179</v>
      </c>
      <c r="C904" s="57">
        <v>6463.0406058533208</v>
      </c>
      <c r="D904" s="57">
        <v>8663.5344182344197</v>
      </c>
    </row>
    <row r="905" spans="1:4" x14ac:dyDescent="0.2">
      <c r="A905">
        <v>868</v>
      </c>
      <c r="B905" s="58">
        <v>0.77309330862398262</v>
      </c>
      <c r="C905" s="57">
        <v>6548.2886246479429</v>
      </c>
      <c r="D905" s="57">
        <v>8470.2435677565827</v>
      </c>
    </row>
    <row r="906" spans="1:4" x14ac:dyDescent="0.2">
      <c r="A906">
        <v>869</v>
      </c>
      <c r="B906" s="58">
        <v>0.85984141228797384</v>
      </c>
      <c r="C906" s="57">
        <v>6161.0913837463286</v>
      </c>
      <c r="D906" s="57">
        <v>7165.3810757406118</v>
      </c>
    </row>
    <row r="907" spans="1:4" x14ac:dyDescent="0.2">
      <c r="A907">
        <v>870</v>
      </c>
      <c r="B907" s="58">
        <v>0.77551201127127278</v>
      </c>
      <c r="C907" s="57">
        <v>8699.7771529024158</v>
      </c>
      <c r="D907" s="57">
        <v>11218.107555344166</v>
      </c>
    </row>
    <row r="908" spans="1:4" x14ac:dyDescent="0.2">
      <c r="A908">
        <v>871</v>
      </c>
      <c r="B908" s="59">
        <v>0.93248583497560489</v>
      </c>
      <c r="C908" s="60">
        <v>8044.684003020262</v>
      </c>
      <c r="D908" s="60">
        <v>8627.1380232073152</v>
      </c>
    </row>
    <row r="909" spans="1:4" x14ac:dyDescent="0.2">
      <c r="A909">
        <v>872</v>
      </c>
      <c r="B909" s="58">
        <v>0.68169629548159349</v>
      </c>
      <c r="C909" s="57">
        <v>6488.9666395662935</v>
      </c>
      <c r="D909" s="57">
        <v>9518.8527245583409</v>
      </c>
    </row>
    <row r="910" spans="1:4" x14ac:dyDescent="0.2">
      <c r="A910">
        <v>873</v>
      </c>
      <c r="B910" s="58">
        <v>0.57381389601027344</v>
      </c>
      <c r="C910" s="57">
        <v>7261.99027086975</v>
      </c>
      <c r="D910" s="57">
        <v>12655.654248463396</v>
      </c>
    </row>
    <row r="911" spans="1:4" x14ac:dyDescent="0.2">
      <c r="A911">
        <v>874</v>
      </c>
      <c r="B911" s="58">
        <v>1.0739037933143241</v>
      </c>
      <c r="C911" s="57">
        <v>6396.2425951567075</v>
      </c>
      <c r="D911" s="57">
        <v>5956.066674665868</v>
      </c>
    </row>
    <row r="912" spans="1:4" x14ac:dyDescent="0.2">
      <c r="A912">
        <v>875</v>
      </c>
      <c r="B912" s="58">
        <v>0.73090953384325186</v>
      </c>
      <c r="C912" s="57">
        <v>6673.4623360382921</v>
      </c>
      <c r="D912" s="57">
        <v>9130.353384430553</v>
      </c>
    </row>
    <row r="913" spans="1:4" x14ac:dyDescent="0.2">
      <c r="A913">
        <v>876</v>
      </c>
      <c r="B913" s="58">
        <v>0.80822795419626559</v>
      </c>
      <c r="C913" s="57">
        <v>7873.5141377132559</v>
      </c>
      <c r="D913" s="57">
        <v>9741.6998469732407</v>
      </c>
    </row>
    <row r="914" spans="1:4" x14ac:dyDescent="0.2">
      <c r="A914">
        <v>877</v>
      </c>
      <c r="B914" s="58">
        <v>0.76523545862417208</v>
      </c>
      <c r="C914" s="57">
        <v>7330.0919079688429</v>
      </c>
      <c r="D914" s="57">
        <v>9578.8712158578237</v>
      </c>
    </row>
    <row r="915" spans="1:4" x14ac:dyDescent="0.2">
      <c r="A915">
        <v>878</v>
      </c>
      <c r="B915" s="58">
        <v>0.82739610835930399</v>
      </c>
      <c r="C915" s="57">
        <v>7891.4929948508252</v>
      </c>
      <c r="D915" s="57">
        <v>9537.7448783260115</v>
      </c>
    </row>
    <row r="916" spans="1:4" x14ac:dyDescent="0.2">
      <c r="A916">
        <v>879</v>
      </c>
      <c r="B916" s="58">
        <v>0.65554475210372942</v>
      </c>
      <c r="C916" s="57">
        <v>9440.0884592493549</v>
      </c>
      <c r="D916" s="57">
        <v>14400.37225369415</v>
      </c>
    </row>
    <row r="917" spans="1:4" x14ac:dyDescent="0.2">
      <c r="A917">
        <v>880</v>
      </c>
      <c r="B917" s="58">
        <v>0.79753880621396878</v>
      </c>
      <c r="C917" s="57">
        <v>5255.0740251449461</v>
      </c>
      <c r="D917" s="57">
        <v>6589.1138891304072</v>
      </c>
    </row>
    <row r="918" spans="1:4" x14ac:dyDescent="0.2">
      <c r="A918">
        <v>881</v>
      </c>
      <c r="B918" s="58">
        <v>0.8666778194635798</v>
      </c>
      <c r="C918" s="57">
        <v>6470.8694002959401</v>
      </c>
      <c r="D918" s="57">
        <v>7466.2916887627398</v>
      </c>
    </row>
    <row r="919" spans="1:4" x14ac:dyDescent="0.2">
      <c r="A919">
        <v>882</v>
      </c>
      <c r="B919" s="58">
        <v>0.70714650147338265</v>
      </c>
      <c r="C919" s="57">
        <v>5683.0863987179164</v>
      </c>
      <c r="D919" s="57">
        <v>8036.6464189200697</v>
      </c>
    </row>
    <row r="920" spans="1:4" x14ac:dyDescent="0.2">
      <c r="A920">
        <v>883</v>
      </c>
      <c r="B920" s="58">
        <v>0.76854703257133927</v>
      </c>
      <c r="C920" s="57">
        <v>8086.1854672017971</v>
      </c>
      <c r="D920" s="57">
        <v>10521.393128209376</v>
      </c>
    </row>
    <row r="921" spans="1:4" x14ac:dyDescent="0.2">
      <c r="A921">
        <v>884</v>
      </c>
      <c r="B921" s="58">
        <v>0.98946096985336673</v>
      </c>
      <c r="C921" s="57">
        <v>6576.6176164494573</v>
      </c>
      <c r="D921" s="57">
        <v>6646.6670407667316</v>
      </c>
    </row>
    <row r="922" spans="1:4" x14ac:dyDescent="0.2">
      <c r="A922">
        <v>885</v>
      </c>
      <c r="B922" s="58">
        <v>0.8490175581544035</v>
      </c>
      <c r="C922" s="57">
        <v>7929.689077683247</v>
      </c>
      <c r="D922" s="57">
        <v>9339.8410922393941</v>
      </c>
    </row>
    <row r="923" spans="1:4" x14ac:dyDescent="0.2">
      <c r="A923">
        <v>886</v>
      </c>
      <c r="B923" s="58">
        <v>0.60669180049165838</v>
      </c>
      <c r="C923" s="57">
        <v>8057.5024206967282</v>
      </c>
      <c r="D923" s="57">
        <v>13281.047171178167</v>
      </c>
    </row>
    <row r="924" spans="1:4" x14ac:dyDescent="0.2">
      <c r="A924">
        <v>887</v>
      </c>
      <c r="B924" s="58">
        <v>0.88949766830183918</v>
      </c>
      <c r="C924" s="57">
        <v>7921.9420701904055</v>
      </c>
      <c r="D924" s="57">
        <v>8906.0852574401579</v>
      </c>
    </row>
    <row r="925" spans="1:4" x14ac:dyDescent="0.2">
      <c r="A925">
        <v>888</v>
      </c>
      <c r="B925" s="58">
        <v>0.73587630344663424</v>
      </c>
      <c r="C925" s="57">
        <v>5488.3750235025664</v>
      </c>
      <c r="D925" s="57">
        <v>7458.2847657909169</v>
      </c>
    </row>
    <row r="926" spans="1:4" x14ac:dyDescent="0.2">
      <c r="A926">
        <v>889</v>
      </c>
      <c r="B926" s="58">
        <v>0.87884539923775584</v>
      </c>
      <c r="C926" s="57">
        <v>6041.3983449786447</v>
      </c>
      <c r="D926" s="57">
        <v>6874.2447195132354</v>
      </c>
    </row>
    <row r="927" spans="1:4" x14ac:dyDescent="0.2">
      <c r="A927">
        <v>890</v>
      </c>
      <c r="B927" s="58">
        <v>0.77012624197983115</v>
      </c>
      <c r="C927" s="57">
        <v>5845.2103647545973</v>
      </c>
      <c r="D927" s="57">
        <v>7589.9379168378964</v>
      </c>
    </row>
    <row r="928" spans="1:4" x14ac:dyDescent="0.2">
      <c r="A928">
        <v>891</v>
      </c>
      <c r="B928" s="59">
        <v>0.77822435297894632</v>
      </c>
      <c r="C928" s="60">
        <v>6861.0062804096669</v>
      </c>
      <c r="D928" s="60">
        <v>8816.231789902984</v>
      </c>
    </row>
    <row r="929" spans="1:4" x14ac:dyDescent="0.2">
      <c r="A929">
        <v>892</v>
      </c>
      <c r="B929" s="58">
        <v>0.82933873228237509</v>
      </c>
      <c r="C929" s="57">
        <v>6995.9498217757791</v>
      </c>
      <c r="D929" s="57">
        <v>8435.5758985506818</v>
      </c>
    </row>
    <row r="930" spans="1:4" x14ac:dyDescent="0.2">
      <c r="A930">
        <v>893</v>
      </c>
      <c r="B930" s="58">
        <v>0.97912055891316196</v>
      </c>
      <c r="C930" s="57">
        <v>7387.7866405159566</v>
      </c>
      <c r="D930" s="57">
        <v>7545.3288905673753</v>
      </c>
    </row>
    <row r="931" spans="1:4" x14ac:dyDescent="0.2">
      <c r="A931">
        <v>894</v>
      </c>
      <c r="B931" s="58">
        <v>0.56722659319554669</v>
      </c>
      <c r="C931" s="57">
        <v>6466.5255038863634</v>
      </c>
      <c r="D931" s="57">
        <v>11400.250942848657</v>
      </c>
    </row>
    <row r="932" spans="1:4" x14ac:dyDescent="0.2">
      <c r="A932">
        <v>895</v>
      </c>
      <c r="B932" s="58">
        <v>0.99440366614332465</v>
      </c>
      <c r="C932" s="57">
        <v>6668.0234145569484</v>
      </c>
      <c r="D932" s="57">
        <v>6705.5499105489798</v>
      </c>
    </row>
    <row r="933" spans="1:4" x14ac:dyDescent="0.2">
      <c r="A933">
        <v>896</v>
      </c>
      <c r="B933" s="58">
        <v>0.90739608997842502</v>
      </c>
      <c r="C933" s="57">
        <v>5573.3748470782484</v>
      </c>
      <c r="D933" s="57">
        <v>6142.1631728771999</v>
      </c>
    </row>
    <row r="934" spans="1:4" x14ac:dyDescent="0.2">
      <c r="A934">
        <v>897</v>
      </c>
      <c r="B934" s="58">
        <v>1.0173850486217964</v>
      </c>
      <c r="C934" s="57">
        <v>7094.0010792297417</v>
      </c>
      <c r="D934" s="57">
        <v>6972.7789776738427</v>
      </c>
    </row>
    <row r="935" spans="1:4" x14ac:dyDescent="0.2">
      <c r="A935">
        <v>898</v>
      </c>
      <c r="B935" s="58">
        <v>0.95882327437663406</v>
      </c>
      <c r="C935" s="57">
        <v>8088.7840711250428</v>
      </c>
      <c r="D935" s="57">
        <v>8436.1574101169535</v>
      </c>
    </row>
    <row r="936" spans="1:4" x14ac:dyDescent="0.2">
      <c r="A936">
        <v>899</v>
      </c>
      <c r="B936" s="58">
        <v>1.1142498316278493</v>
      </c>
      <c r="C936" s="57">
        <v>7505.9169714636464</v>
      </c>
      <c r="D936" s="57">
        <v>6736.2962581721649</v>
      </c>
    </row>
    <row r="937" spans="1:4" x14ac:dyDescent="0.2">
      <c r="A937">
        <v>900</v>
      </c>
      <c r="B937" s="58">
        <v>0.84234793497042038</v>
      </c>
      <c r="C937" s="57">
        <v>6371.5939232782839</v>
      </c>
      <c r="D937" s="57">
        <v>7564.0880196400394</v>
      </c>
    </row>
    <row r="938" spans="1:4" x14ac:dyDescent="0.2">
      <c r="A938">
        <v>901</v>
      </c>
      <c r="B938" s="59">
        <v>0.78402228151562348</v>
      </c>
      <c r="C938" s="60">
        <v>7680.6041889773696</v>
      </c>
      <c r="D938" s="60">
        <v>9796.4105996193121</v>
      </c>
    </row>
    <row r="939" spans="1:4" x14ac:dyDescent="0.2">
      <c r="A939">
        <v>902</v>
      </c>
      <c r="B939" s="58">
        <v>0.88657295222277099</v>
      </c>
      <c r="C939" s="57">
        <v>8032.5777454892777</v>
      </c>
      <c r="D939" s="57">
        <v>9060.2558146516913</v>
      </c>
    </row>
    <row r="940" spans="1:4" x14ac:dyDescent="0.2">
      <c r="A940">
        <v>903</v>
      </c>
      <c r="B940" s="58">
        <v>0.76516342851562058</v>
      </c>
      <c r="C940" s="57">
        <v>8008.9701582412854</v>
      </c>
      <c r="D940" s="57">
        <v>10467.005949014439</v>
      </c>
    </row>
    <row r="941" spans="1:4" x14ac:dyDescent="0.2">
      <c r="A941">
        <v>904</v>
      </c>
      <c r="B941" s="58">
        <v>0.6471868599092705</v>
      </c>
      <c r="C941" s="57">
        <v>7330.1327159458106</v>
      </c>
      <c r="D941" s="57">
        <v>11326.145770285611</v>
      </c>
    </row>
    <row r="942" spans="1:4" x14ac:dyDescent="0.2">
      <c r="A942">
        <v>905</v>
      </c>
      <c r="B942" s="58">
        <v>1.0662094569899727</v>
      </c>
      <c r="C942" s="57">
        <v>7757.2105933446474</v>
      </c>
      <c r="D942" s="57">
        <v>7275.503459933765</v>
      </c>
    </row>
    <row r="943" spans="1:4" x14ac:dyDescent="0.2">
      <c r="A943">
        <v>906</v>
      </c>
      <c r="B943" s="58">
        <v>1.045700767438932</v>
      </c>
      <c r="C943" s="57">
        <v>6995.2676987583354</v>
      </c>
      <c r="D943" s="57">
        <v>6689.5501242585178</v>
      </c>
    </row>
    <row r="944" spans="1:4" x14ac:dyDescent="0.2">
      <c r="A944">
        <v>907</v>
      </c>
      <c r="B944" s="58">
        <v>0.77931364406031456</v>
      </c>
      <c r="C944" s="57">
        <v>6190.6922237574472</v>
      </c>
      <c r="D944" s="57">
        <v>7943.7749755069372</v>
      </c>
    </row>
    <row r="945" spans="1:4" x14ac:dyDescent="0.2">
      <c r="A945">
        <v>908</v>
      </c>
      <c r="B945" s="58">
        <v>0.81433937554709601</v>
      </c>
      <c r="C945" s="57">
        <v>7025.7761642772257</v>
      </c>
      <c r="D945" s="57">
        <v>8627.5776110630941</v>
      </c>
    </row>
    <row r="946" spans="1:4" x14ac:dyDescent="0.2">
      <c r="A946">
        <v>909</v>
      </c>
      <c r="B946" s="58">
        <v>0.78455746720504482</v>
      </c>
      <c r="C946" s="57">
        <v>7133.6536234515515</v>
      </c>
      <c r="D946" s="57">
        <v>9092.5826617454968</v>
      </c>
    </row>
    <row r="947" spans="1:4" x14ac:dyDescent="0.2">
      <c r="A947">
        <v>910</v>
      </c>
      <c r="B947" s="58">
        <v>0.88436726950969735</v>
      </c>
      <c r="C947" s="57">
        <v>5069.1355709216514</v>
      </c>
      <c r="D947" s="57">
        <v>5731.9348484391949</v>
      </c>
    </row>
    <row r="948" spans="1:4" x14ac:dyDescent="0.2">
      <c r="A948">
        <v>911</v>
      </c>
      <c r="B948" s="58">
        <v>0.83088701849414193</v>
      </c>
      <c r="C948" s="57">
        <v>7220.9431845378531</v>
      </c>
      <c r="D948" s="57">
        <v>8690.6438827564416</v>
      </c>
    </row>
    <row r="949" spans="1:4" x14ac:dyDescent="0.2">
      <c r="A949">
        <v>912</v>
      </c>
      <c r="B949" s="58">
        <v>0.66579807834939331</v>
      </c>
      <c r="C949" s="57">
        <v>5941.6047010765342</v>
      </c>
      <c r="D949" s="57">
        <v>8924.0340191527812</v>
      </c>
    </row>
    <row r="950" spans="1:4" x14ac:dyDescent="0.2">
      <c r="A950">
        <v>913</v>
      </c>
      <c r="B950" s="58">
        <v>0.82619004641225224</v>
      </c>
      <c r="C950" s="57">
        <v>7801.2569562442241</v>
      </c>
      <c r="D950" s="57">
        <v>9442.4484900554635</v>
      </c>
    </row>
    <row r="951" spans="1:4" x14ac:dyDescent="0.2">
      <c r="A951">
        <v>914</v>
      </c>
      <c r="B951" s="58">
        <v>0.81735121647506936</v>
      </c>
      <c r="C951" s="57">
        <v>7103.93777834708</v>
      </c>
      <c r="D951" s="57">
        <v>8691.4139664264658</v>
      </c>
    </row>
    <row r="952" spans="1:4" x14ac:dyDescent="0.2">
      <c r="A952">
        <v>915</v>
      </c>
      <c r="B952" s="58">
        <v>0.78112426892452902</v>
      </c>
      <c r="C952" s="57">
        <v>5886.3095390267772</v>
      </c>
      <c r="D952" s="57">
        <v>7535.6889719112069</v>
      </c>
    </row>
    <row r="953" spans="1:4" x14ac:dyDescent="0.2">
      <c r="A953">
        <v>916</v>
      </c>
      <c r="B953" s="58">
        <v>0.80609062831257461</v>
      </c>
      <c r="C953" s="57">
        <v>9022.0653734874304</v>
      </c>
      <c r="D953" s="57">
        <v>11192.371002220583</v>
      </c>
    </row>
    <row r="954" spans="1:4" x14ac:dyDescent="0.2">
      <c r="A954">
        <v>917</v>
      </c>
      <c r="B954" s="58">
        <v>1.0283732939070989</v>
      </c>
      <c r="C954" s="57">
        <v>5530.6995449226069</v>
      </c>
      <c r="D954" s="57">
        <v>5378.1049913400793</v>
      </c>
    </row>
    <row r="955" spans="1:4" x14ac:dyDescent="0.2">
      <c r="A955">
        <v>918</v>
      </c>
      <c r="B955" s="58">
        <v>0.90041545855004301</v>
      </c>
      <c r="C955" s="57">
        <v>7137.3312018023889</v>
      </c>
      <c r="D955" s="57">
        <v>7926.7088698096941</v>
      </c>
    </row>
    <row r="956" spans="1:4" x14ac:dyDescent="0.2">
      <c r="A956">
        <v>919</v>
      </c>
      <c r="B956" s="58">
        <v>0.59729394795540891</v>
      </c>
      <c r="C956" s="57">
        <v>7773.5775563108218</v>
      </c>
      <c r="D956" s="57">
        <v>13014.659838627998</v>
      </c>
    </row>
    <row r="957" spans="1:4" x14ac:dyDescent="0.2">
      <c r="A957">
        <v>920</v>
      </c>
      <c r="B957" s="58">
        <v>0.83079125688943201</v>
      </c>
      <c r="C957" s="57">
        <v>6447.6287447375034</v>
      </c>
      <c r="D957" s="57">
        <v>7760.8288378937559</v>
      </c>
    </row>
    <row r="958" spans="1:4" x14ac:dyDescent="0.2">
      <c r="A958">
        <v>921</v>
      </c>
      <c r="B958" s="58">
        <v>0.66749151076468749</v>
      </c>
      <c r="C958" s="57">
        <v>7671.3941654706759</v>
      </c>
      <c r="D958" s="57">
        <v>11492.871507357781</v>
      </c>
    </row>
    <row r="959" spans="1:4" x14ac:dyDescent="0.2">
      <c r="A959">
        <v>922</v>
      </c>
      <c r="B959" s="58">
        <v>0.94724335327752396</v>
      </c>
      <c r="C959" s="57">
        <v>7278.1097327195985</v>
      </c>
      <c r="D959" s="57">
        <v>7683.4635023163401</v>
      </c>
    </row>
    <row r="960" spans="1:4" x14ac:dyDescent="0.2">
      <c r="A960">
        <v>923</v>
      </c>
      <c r="B960" s="58">
        <v>0.93289813430518542</v>
      </c>
      <c r="C960" s="57">
        <v>4952.1427999621701</v>
      </c>
      <c r="D960" s="57">
        <v>5308.3424844133533</v>
      </c>
    </row>
    <row r="961" spans="1:4" x14ac:dyDescent="0.2">
      <c r="A961">
        <v>924</v>
      </c>
      <c r="B961" s="58">
        <v>0.84681296957086971</v>
      </c>
      <c r="C961" s="57">
        <v>8031.8272564485878</v>
      </c>
      <c r="D961" s="57">
        <v>9484.7711892258685</v>
      </c>
    </row>
    <row r="962" spans="1:4" x14ac:dyDescent="0.2">
      <c r="A962">
        <v>925</v>
      </c>
      <c r="B962" s="58">
        <v>0.77454726198281065</v>
      </c>
      <c r="C962" s="57">
        <v>6851.6403400462696</v>
      </c>
      <c r="D962" s="57">
        <v>8845.9938810013209</v>
      </c>
    </row>
    <row r="963" spans="1:4" x14ac:dyDescent="0.2">
      <c r="A963">
        <v>926</v>
      </c>
      <c r="B963" s="58">
        <v>1.0006085113716221</v>
      </c>
      <c r="C963" s="57">
        <v>7873.1329855044305</v>
      </c>
      <c r="D963" s="57">
        <v>7868.3450080911607</v>
      </c>
    </row>
    <row r="964" spans="1:4" x14ac:dyDescent="0.2">
      <c r="A964">
        <v>927</v>
      </c>
      <c r="B964" s="58">
        <v>0.70535837146670755</v>
      </c>
      <c r="C964" s="57">
        <v>7224.8504797643145</v>
      </c>
      <c r="D964" s="57">
        <v>10242.808155436094</v>
      </c>
    </row>
    <row r="965" spans="1:4" x14ac:dyDescent="0.2">
      <c r="A965">
        <v>928</v>
      </c>
      <c r="B965" s="58">
        <v>1.0181842401994086</v>
      </c>
      <c r="C965" s="57">
        <v>6198.4104657815024</v>
      </c>
      <c r="D965" s="57">
        <v>6087.7100833612985</v>
      </c>
    </row>
    <row r="966" spans="1:4" x14ac:dyDescent="0.2">
      <c r="A966">
        <v>929</v>
      </c>
      <c r="B966" s="58">
        <v>0.94514422168634216</v>
      </c>
      <c r="C966" s="57">
        <v>8020.7077243463937</v>
      </c>
      <c r="D966" s="57">
        <v>8486.2262714104236</v>
      </c>
    </row>
    <row r="967" spans="1:4" x14ac:dyDescent="0.2">
      <c r="A967">
        <v>930</v>
      </c>
      <c r="B967" s="58">
        <v>1.0694578007350906</v>
      </c>
      <c r="C967" s="57">
        <v>7429.5657464908345</v>
      </c>
      <c r="D967" s="57">
        <v>6947.039650731549</v>
      </c>
    </row>
    <row r="968" spans="1:4" x14ac:dyDescent="0.2">
      <c r="A968">
        <v>931</v>
      </c>
      <c r="B968" s="58">
        <v>0.6889726196235797</v>
      </c>
      <c r="C968" s="57">
        <v>8349.2009286800821</v>
      </c>
      <c r="D968" s="57">
        <v>12118.334881350829</v>
      </c>
    </row>
    <row r="969" spans="1:4" x14ac:dyDescent="0.2">
      <c r="A969">
        <v>932</v>
      </c>
      <c r="B969" s="58">
        <v>1.1516644029340997</v>
      </c>
      <c r="C969" s="57">
        <v>7004.5895718845477</v>
      </c>
      <c r="D969" s="57">
        <v>6082.1447237918692</v>
      </c>
    </row>
    <row r="970" spans="1:4" x14ac:dyDescent="0.2">
      <c r="A970">
        <v>933</v>
      </c>
      <c r="B970" s="58">
        <v>0.64739596945846145</v>
      </c>
      <c r="C970" s="57">
        <v>8456.7587703209065</v>
      </c>
      <c r="D970" s="57">
        <v>13062.730028107648</v>
      </c>
    </row>
    <row r="971" spans="1:4" x14ac:dyDescent="0.2">
      <c r="A971">
        <v>934</v>
      </c>
      <c r="B971" s="58">
        <v>0.60890596694908972</v>
      </c>
      <c r="C971" s="57">
        <v>8062.2912641714302</v>
      </c>
      <c r="D971" s="57">
        <v>13240.617930823322</v>
      </c>
    </row>
    <row r="972" spans="1:4" x14ac:dyDescent="0.2">
      <c r="A972">
        <v>935</v>
      </c>
      <c r="B972" s="58">
        <v>0.79488601983416274</v>
      </c>
      <c r="C972" s="57">
        <v>7610.2341251536382</v>
      </c>
      <c r="D972" s="57">
        <v>9573.9941768523786</v>
      </c>
    </row>
    <row r="973" spans="1:4" x14ac:dyDescent="0.2">
      <c r="A973">
        <v>936</v>
      </c>
      <c r="B973" s="58">
        <v>0.9204541172769467</v>
      </c>
      <c r="C973" s="57">
        <v>7165.3810561744322</v>
      </c>
      <c r="D973" s="57">
        <v>7784.6151390710857</v>
      </c>
    </row>
    <row r="974" spans="1:4" x14ac:dyDescent="0.2">
      <c r="A974">
        <v>937</v>
      </c>
      <c r="B974" s="58">
        <v>0.95562790762712169</v>
      </c>
      <c r="C974" s="57">
        <v>7169.4266934884872</v>
      </c>
      <c r="D974" s="57">
        <v>7502.3203448406821</v>
      </c>
    </row>
    <row r="975" spans="1:4" x14ac:dyDescent="0.2">
      <c r="A975">
        <v>938</v>
      </c>
      <c r="B975" s="58">
        <v>0.74652607906326907</v>
      </c>
      <c r="C975" s="57">
        <v>6445.0510371671216</v>
      </c>
      <c r="D975" s="57">
        <v>8633.3903368175506</v>
      </c>
    </row>
    <row r="976" spans="1:4" x14ac:dyDescent="0.2">
      <c r="A976">
        <v>939</v>
      </c>
      <c r="B976" s="58">
        <v>0.78613637626762323</v>
      </c>
      <c r="C976" s="57">
        <v>6325.0718262054543</v>
      </c>
      <c r="D976" s="57">
        <v>8045.769178415705</v>
      </c>
    </row>
    <row r="977" spans="1:4" x14ac:dyDescent="0.2">
      <c r="A977">
        <v>940</v>
      </c>
      <c r="B977" s="58">
        <v>0.89591350025937277</v>
      </c>
      <c r="C977" s="57">
        <v>3951.4320604550467</v>
      </c>
      <c r="D977" s="57">
        <v>4410.5062143957884</v>
      </c>
    </row>
    <row r="978" spans="1:4" x14ac:dyDescent="0.2">
      <c r="A978">
        <v>941</v>
      </c>
      <c r="B978" s="58">
        <v>0.91135399610383505</v>
      </c>
      <c r="C978" s="57">
        <v>7759.3157729869845</v>
      </c>
      <c r="D978" s="57">
        <v>8514.0525044704227</v>
      </c>
    </row>
    <row r="979" spans="1:4" x14ac:dyDescent="0.2">
      <c r="A979">
        <v>942</v>
      </c>
      <c r="B979" s="58">
        <v>0.9492258950838135</v>
      </c>
      <c r="C979" s="57">
        <v>7582.0662848570628</v>
      </c>
      <c r="D979" s="57">
        <v>7987.6311045934872</v>
      </c>
    </row>
    <row r="980" spans="1:4" x14ac:dyDescent="0.2">
      <c r="A980">
        <v>943</v>
      </c>
      <c r="B980" s="58">
        <v>1.1703667301524625</v>
      </c>
      <c r="C980" s="57">
        <v>6528.3659251151003</v>
      </c>
      <c r="D980" s="57">
        <v>5578.0515260072852</v>
      </c>
    </row>
    <row r="981" spans="1:4" x14ac:dyDescent="0.2">
      <c r="A981">
        <v>944</v>
      </c>
      <c r="B981" s="58">
        <v>0.78254161703421676</v>
      </c>
      <c r="C981" s="57">
        <v>8056.0549272229819</v>
      </c>
      <c r="D981" s="57">
        <v>10294.730340035998</v>
      </c>
    </row>
    <row r="982" spans="1:4" x14ac:dyDescent="0.2">
      <c r="A982">
        <v>945</v>
      </c>
      <c r="B982" s="58">
        <v>0.91352825947635452</v>
      </c>
      <c r="C982" s="57">
        <v>6179.6632541546951</v>
      </c>
      <c r="D982" s="57">
        <v>6764.610935732796</v>
      </c>
    </row>
    <row r="983" spans="1:4" x14ac:dyDescent="0.2">
      <c r="A983">
        <v>946</v>
      </c>
      <c r="B983" s="58">
        <v>0.86273449302010174</v>
      </c>
      <c r="C983" s="57">
        <v>7444.0033988002378</v>
      </c>
      <c r="D983" s="57">
        <v>8628.3827284355393</v>
      </c>
    </row>
    <row r="984" spans="1:4" x14ac:dyDescent="0.2">
      <c r="A984">
        <v>947</v>
      </c>
      <c r="B984" s="58">
        <v>0.63906224976320658</v>
      </c>
      <c r="C984" s="57">
        <v>5870.7099426301902</v>
      </c>
      <c r="D984" s="57">
        <v>9186.4445831458197</v>
      </c>
    </row>
    <row r="985" spans="1:4" x14ac:dyDescent="0.2">
      <c r="A985">
        <v>948</v>
      </c>
      <c r="B985" s="58">
        <v>0.667920130866138</v>
      </c>
      <c r="C985" s="57">
        <v>7872.3872246207884</v>
      </c>
      <c r="D985" s="57">
        <v>11786.420053565569</v>
      </c>
    </row>
    <row r="986" spans="1:4" x14ac:dyDescent="0.2">
      <c r="A986">
        <v>949</v>
      </c>
      <c r="B986" s="58">
        <v>0.75583896914195048</v>
      </c>
      <c r="C986" s="57">
        <v>5513.2037186322268</v>
      </c>
      <c r="D986" s="57">
        <v>7294.1511931978976</v>
      </c>
    </row>
    <row r="987" spans="1:4" x14ac:dyDescent="0.2">
      <c r="A987">
        <v>950</v>
      </c>
      <c r="B987" s="58">
        <v>0.87411032485920614</v>
      </c>
      <c r="C987" s="57">
        <v>5088.0167131265289</v>
      </c>
      <c r="D987" s="57">
        <v>5820.7946622139043</v>
      </c>
    </row>
    <row r="988" spans="1:4" x14ac:dyDescent="0.2">
      <c r="A988">
        <v>951</v>
      </c>
      <c r="B988" s="59">
        <v>0.85112000650609865</v>
      </c>
      <c r="C988" s="60">
        <v>7471.765702018989</v>
      </c>
      <c r="D988" s="60">
        <v>8778.7452355761889</v>
      </c>
    </row>
    <row r="989" spans="1:4" x14ac:dyDescent="0.2">
      <c r="A989">
        <v>952</v>
      </c>
      <c r="B989" s="58">
        <v>0.69286799099917218</v>
      </c>
      <c r="C989" s="57">
        <v>6206.2907248484134</v>
      </c>
      <c r="D989" s="57">
        <v>8957.392758032358</v>
      </c>
    </row>
    <row r="990" spans="1:4" x14ac:dyDescent="0.2">
      <c r="A990">
        <v>953</v>
      </c>
      <c r="B990" s="58">
        <v>0.77549208260136737</v>
      </c>
      <c r="C990" s="57">
        <v>7535.5727352874619</v>
      </c>
      <c r="D990" s="57">
        <v>9717.1497999174735</v>
      </c>
    </row>
    <row r="991" spans="1:4" x14ac:dyDescent="0.2">
      <c r="A991">
        <v>954</v>
      </c>
      <c r="B991" s="58">
        <v>0.9939455390716212</v>
      </c>
      <c r="C991" s="57">
        <v>7365.5994982279335</v>
      </c>
      <c r="D991" s="57">
        <v>7410.4658743251193</v>
      </c>
    </row>
    <row r="992" spans="1:4" x14ac:dyDescent="0.2">
      <c r="A992">
        <v>955</v>
      </c>
      <c r="B992" s="58">
        <v>1.1000789056424614</v>
      </c>
      <c r="C992" s="57">
        <v>6951.1887383636076</v>
      </c>
      <c r="D992" s="57">
        <v>6318.8092260563953</v>
      </c>
    </row>
    <row r="993" spans="1:4" x14ac:dyDescent="0.2">
      <c r="A993">
        <v>956</v>
      </c>
      <c r="B993" s="58">
        <v>0.71835799837570491</v>
      </c>
      <c r="C993" s="57">
        <v>7850.539257480099</v>
      </c>
      <c r="D993" s="57">
        <v>10928.449707849188</v>
      </c>
    </row>
    <row r="994" spans="1:4" x14ac:dyDescent="0.2">
      <c r="A994">
        <v>957</v>
      </c>
      <c r="B994" s="58">
        <v>0.63778093462657193</v>
      </c>
      <c r="C994" s="57">
        <v>7067.9767248964436</v>
      </c>
      <c r="D994" s="57">
        <v>11082.138617133209</v>
      </c>
    </row>
    <row r="995" spans="1:4" x14ac:dyDescent="0.2">
      <c r="A995">
        <v>958</v>
      </c>
      <c r="B995" s="58">
        <v>0.94945363956476747</v>
      </c>
      <c r="C995" s="57">
        <v>8273.375246925556</v>
      </c>
      <c r="D995" s="57">
        <v>8713.8275131770497</v>
      </c>
    </row>
    <row r="996" spans="1:4" x14ac:dyDescent="0.2">
      <c r="A996">
        <v>959</v>
      </c>
      <c r="B996" s="58">
        <v>1.0306819282861959</v>
      </c>
      <c r="C996" s="57">
        <v>7710.4822249214249</v>
      </c>
      <c r="D996" s="57">
        <v>7480.952186425071</v>
      </c>
    </row>
    <row r="997" spans="1:4" x14ac:dyDescent="0.2">
      <c r="A997">
        <v>960</v>
      </c>
      <c r="B997" s="58">
        <v>0.74214005302470909</v>
      </c>
      <c r="C997" s="57">
        <v>6061.9368261631807</v>
      </c>
      <c r="D997" s="57">
        <v>8168.184430225534</v>
      </c>
    </row>
    <row r="998" spans="1:4" x14ac:dyDescent="0.2">
      <c r="A998">
        <v>961</v>
      </c>
      <c r="B998" s="58">
        <v>0.96619334364763176</v>
      </c>
      <c r="C998" s="57">
        <v>6877.0159390819708</v>
      </c>
      <c r="D998" s="57">
        <v>7117.6395328076287</v>
      </c>
    </row>
    <row r="999" spans="1:4" x14ac:dyDescent="0.2">
      <c r="A999">
        <v>962</v>
      </c>
      <c r="B999" s="58">
        <v>1.058206822513645</v>
      </c>
      <c r="C999" s="57">
        <v>6775.2319189895479</v>
      </c>
      <c r="D999" s="57">
        <v>6402.5592869414577</v>
      </c>
    </row>
    <row r="1000" spans="1:4" x14ac:dyDescent="0.2">
      <c r="A1000">
        <v>963</v>
      </c>
      <c r="B1000" s="58">
        <v>1.0754013209002879</v>
      </c>
      <c r="C1000" s="57">
        <v>6673.3993614965548</v>
      </c>
      <c r="D1000" s="57">
        <v>6205.4967125294406</v>
      </c>
    </row>
    <row r="1001" spans="1:4" x14ac:dyDescent="0.2">
      <c r="A1001">
        <v>964</v>
      </c>
      <c r="B1001" s="58">
        <v>0.68119340855703481</v>
      </c>
      <c r="C1001" s="57">
        <v>8245.3982468920476</v>
      </c>
      <c r="D1001" s="57">
        <v>12104.342383990755</v>
      </c>
    </row>
    <row r="1002" spans="1:4" x14ac:dyDescent="0.2">
      <c r="A1002">
        <v>965</v>
      </c>
      <c r="B1002" s="58">
        <v>0.75180125216446481</v>
      </c>
      <c r="C1002" s="57">
        <v>6653.2782612664196</v>
      </c>
      <c r="D1002" s="57">
        <v>8849.7834262863689</v>
      </c>
    </row>
    <row r="1003" spans="1:4" x14ac:dyDescent="0.2">
      <c r="A1003">
        <v>966</v>
      </c>
      <c r="B1003" s="58">
        <v>0.90619017703395066</v>
      </c>
      <c r="C1003" s="57">
        <v>6679.3992680668543</v>
      </c>
      <c r="D1003" s="57">
        <v>7370.8581679059726</v>
      </c>
    </row>
    <row r="1004" spans="1:4" x14ac:dyDescent="0.2">
      <c r="A1004">
        <v>967</v>
      </c>
      <c r="B1004" s="58">
        <v>0.99181197991188164</v>
      </c>
      <c r="C1004" s="57">
        <v>7816.4429654324776</v>
      </c>
      <c r="D1004" s="57">
        <v>7880.9725267957901</v>
      </c>
    </row>
    <row r="1005" spans="1:4" x14ac:dyDescent="0.2">
      <c r="A1005">
        <v>968</v>
      </c>
      <c r="B1005" s="58">
        <v>0.77431404576600649</v>
      </c>
      <c r="C1005" s="57">
        <v>7703.1621878496244</v>
      </c>
      <c r="D1005" s="57">
        <v>9948.3694374019888</v>
      </c>
    </row>
    <row r="1006" spans="1:4" x14ac:dyDescent="0.2">
      <c r="A1006">
        <v>969</v>
      </c>
      <c r="B1006" s="58">
        <v>1.1431283607682605</v>
      </c>
      <c r="C1006" s="57">
        <v>6154.0565214537528</v>
      </c>
      <c r="D1006" s="57">
        <v>5383.5218621623608</v>
      </c>
    </row>
    <row r="1007" spans="1:4" x14ac:dyDescent="0.2">
      <c r="A1007">
        <v>970</v>
      </c>
      <c r="B1007" s="58">
        <v>0.66726284641088007</v>
      </c>
      <c r="C1007" s="57">
        <v>8386.629155931254</v>
      </c>
      <c r="D1007" s="57">
        <v>12568.703923861249</v>
      </c>
    </row>
    <row r="1008" spans="1:4" x14ac:dyDescent="0.2">
      <c r="A1008">
        <v>971</v>
      </c>
      <c r="B1008" s="58">
        <v>1.0910316070473023</v>
      </c>
      <c r="C1008" s="57">
        <v>7717.5825423768983</v>
      </c>
      <c r="D1008" s="57">
        <v>7073.6562465529914</v>
      </c>
    </row>
    <row r="1009" spans="1:4" x14ac:dyDescent="0.2">
      <c r="A1009">
        <v>972</v>
      </c>
      <c r="B1009" s="58">
        <v>0.62863712181183828</v>
      </c>
      <c r="C1009" s="57">
        <v>7277.6252401800157</v>
      </c>
      <c r="D1009" s="57">
        <v>11576.830237458251</v>
      </c>
    </row>
    <row r="1010" spans="1:4" x14ac:dyDescent="0.2">
      <c r="A1010">
        <v>973</v>
      </c>
      <c r="B1010" s="58">
        <v>1.0647125277949669</v>
      </c>
      <c r="C1010" s="57">
        <v>6525.4503058264108</v>
      </c>
      <c r="D1010" s="57">
        <v>6128.8377242453425</v>
      </c>
    </row>
    <row r="1011" spans="1:4" x14ac:dyDescent="0.2">
      <c r="A1011">
        <v>974</v>
      </c>
      <c r="B1011" s="58">
        <v>0.88378533316051566</v>
      </c>
      <c r="C1011" s="57">
        <v>7584.3830052679205</v>
      </c>
      <c r="D1011" s="57">
        <v>8581.7027288123409</v>
      </c>
    </row>
    <row r="1012" spans="1:4" x14ac:dyDescent="0.2">
      <c r="A1012">
        <v>975</v>
      </c>
      <c r="B1012" s="58">
        <v>0.93596972772021836</v>
      </c>
      <c r="C1012" s="57">
        <v>6308.0387687668526</v>
      </c>
      <c r="D1012" s="57">
        <v>6739.5756315021144</v>
      </c>
    </row>
    <row r="1013" spans="1:4" x14ac:dyDescent="0.2">
      <c r="A1013">
        <v>976</v>
      </c>
      <c r="B1013" s="58">
        <v>0.92039993187471314</v>
      </c>
      <c r="C1013" s="57">
        <v>5918.1124297226488</v>
      </c>
      <c r="D1013" s="57">
        <v>6429.935753763436</v>
      </c>
    </row>
    <row r="1014" spans="1:4" x14ac:dyDescent="0.2">
      <c r="A1014">
        <v>977</v>
      </c>
      <c r="B1014" s="58">
        <v>0.68822113939858909</v>
      </c>
      <c r="C1014" s="57">
        <v>5484.7214395895808</v>
      </c>
      <c r="D1014" s="57">
        <v>7969.4172782638952</v>
      </c>
    </row>
    <row r="1015" spans="1:4" x14ac:dyDescent="0.2">
      <c r="A1015">
        <v>978</v>
      </c>
      <c r="B1015" s="58">
        <v>0.71417873617434147</v>
      </c>
      <c r="C1015" s="57">
        <v>7744.8935728719716</v>
      </c>
      <c r="D1015" s="57">
        <v>10844.475172082595</v>
      </c>
    </row>
    <row r="1016" spans="1:4" x14ac:dyDescent="0.2">
      <c r="A1016">
        <v>979</v>
      </c>
      <c r="B1016" s="58">
        <v>0.76028535578284728</v>
      </c>
      <c r="C1016" s="57">
        <v>6101.8947293545025</v>
      </c>
      <c r="D1016" s="57">
        <v>8025.7954239714772</v>
      </c>
    </row>
    <row r="1017" spans="1:4" x14ac:dyDescent="0.2">
      <c r="A1017">
        <v>980</v>
      </c>
      <c r="B1017" s="58">
        <v>1.1140933847166616</v>
      </c>
      <c r="C1017" s="57">
        <v>6258.9226049814997</v>
      </c>
      <c r="D1017" s="57">
        <v>5617.9515028475653</v>
      </c>
    </row>
    <row r="1018" spans="1:4" x14ac:dyDescent="0.2">
      <c r="A1018">
        <v>981</v>
      </c>
      <c r="B1018" s="58">
        <v>0.70026787606341756</v>
      </c>
      <c r="C1018" s="57">
        <v>6239.7771549599656</v>
      </c>
      <c r="D1018" s="57">
        <v>8910.5574712881444</v>
      </c>
    </row>
    <row r="1019" spans="1:4" x14ac:dyDescent="0.2">
      <c r="A1019">
        <v>982</v>
      </c>
      <c r="B1019" s="58">
        <v>0.84095153570429737</v>
      </c>
      <c r="C1019" s="57">
        <v>7390.3083330117061</v>
      </c>
      <c r="D1019" s="57">
        <v>8788.0311994701551</v>
      </c>
    </row>
    <row r="1020" spans="1:4" x14ac:dyDescent="0.2">
      <c r="A1020">
        <v>983</v>
      </c>
      <c r="B1020" s="58">
        <v>0.96273107158068694</v>
      </c>
      <c r="C1020" s="57">
        <v>6502.2847997901426</v>
      </c>
      <c r="D1020" s="57">
        <v>6753.9991091325064</v>
      </c>
    </row>
    <row r="1021" spans="1:4" x14ac:dyDescent="0.2">
      <c r="A1021">
        <v>984</v>
      </c>
      <c r="B1021" s="58">
        <v>0.89639952659511657</v>
      </c>
      <c r="C1021" s="57">
        <v>5641.0860356651983</v>
      </c>
      <c r="D1021" s="57">
        <v>6293.0488786538035</v>
      </c>
    </row>
    <row r="1022" spans="1:4" x14ac:dyDescent="0.2">
      <c r="A1022">
        <v>985</v>
      </c>
      <c r="B1022" s="58">
        <v>0.80045954033252364</v>
      </c>
      <c r="C1022" s="57">
        <v>5870.6649130089154</v>
      </c>
      <c r="D1022" s="57">
        <v>7334.118237344198</v>
      </c>
    </row>
    <row r="1023" spans="1:4" x14ac:dyDescent="0.2">
      <c r="A1023">
        <v>986</v>
      </c>
      <c r="B1023" s="58">
        <v>0.99012025964582495</v>
      </c>
      <c r="C1023" s="57">
        <v>6894.3377654962478</v>
      </c>
      <c r="D1023" s="57">
        <v>6963.1316987316422</v>
      </c>
    </row>
    <row r="1024" spans="1:4" x14ac:dyDescent="0.2">
      <c r="A1024">
        <v>987</v>
      </c>
      <c r="B1024" s="58">
        <v>0.87061281935022894</v>
      </c>
      <c r="C1024" s="57">
        <v>5770.189689571911</v>
      </c>
      <c r="D1024" s="57">
        <v>6627.7334325015108</v>
      </c>
    </row>
    <row r="1025" spans="1:4" x14ac:dyDescent="0.2">
      <c r="A1025">
        <v>988</v>
      </c>
      <c r="B1025" s="58">
        <v>0.59521480275326066</v>
      </c>
      <c r="C1025" s="57">
        <v>7065.6850272329539</v>
      </c>
      <c r="D1025" s="57">
        <v>11870.815367073374</v>
      </c>
    </row>
    <row r="1026" spans="1:4" x14ac:dyDescent="0.2">
      <c r="A1026">
        <v>989</v>
      </c>
      <c r="B1026" s="58">
        <v>0.71653459192268798</v>
      </c>
      <c r="C1026" s="57">
        <v>7007.3004589680586</v>
      </c>
      <c r="D1026" s="57">
        <v>9779.4308020290609</v>
      </c>
    </row>
    <row r="1027" spans="1:4" x14ac:dyDescent="0.2">
      <c r="A1027">
        <v>990</v>
      </c>
      <c r="B1027" s="58">
        <v>0.71474028238831533</v>
      </c>
      <c r="C1027" s="57">
        <v>6817.1280167239202</v>
      </c>
      <c r="D1027" s="57">
        <v>9537.9093423199611</v>
      </c>
    </row>
    <row r="1028" spans="1:4" x14ac:dyDescent="0.2">
      <c r="A1028">
        <v>991</v>
      </c>
      <c r="B1028" s="58">
        <v>1.0068911307545934</v>
      </c>
      <c r="C1028" s="57">
        <v>5931.0756252237734</v>
      </c>
      <c r="D1028" s="57">
        <v>5890.4835329901589</v>
      </c>
    </row>
    <row r="1029" spans="1:4" x14ac:dyDescent="0.2">
      <c r="A1029">
        <v>992</v>
      </c>
      <c r="B1029" s="59">
        <v>1.0301980175200942</v>
      </c>
      <c r="C1029" s="60">
        <v>6563.6376158507937</v>
      </c>
      <c r="D1029" s="60">
        <v>6371.2388339193913</v>
      </c>
    </row>
    <row r="1030" spans="1:4" x14ac:dyDescent="0.2">
      <c r="A1030">
        <v>993</v>
      </c>
      <c r="B1030" s="58">
        <v>0.97312464377213104</v>
      </c>
      <c r="C1030" s="57">
        <v>7881.6904388540643</v>
      </c>
      <c r="D1030" s="57">
        <v>8099.3637241599417</v>
      </c>
    </row>
    <row r="1031" spans="1:4" x14ac:dyDescent="0.2">
      <c r="A1031">
        <v>994</v>
      </c>
      <c r="B1031" s="58">
        <v>0.90628279310126114</v>
      </c>
      <c r="C1031" s="57">
        <v>7445.6317925891472</v>
      </c>
      <c r="D1031" s="57">
        <v>8215.5722797191283</v>
      </c>
    </row>
    <row r="1032" spans="1:4" x14ac:dyDescent="0.2">
      <c r="A1032">
        <v>995</v>
      </c>
      <c r="B1032" s="58">
        <v>0.77500565269159871</v>
      </c>
      <c r="C1032" s="57">
        <v>7288.0771318511552</v>
      </c>
      <c r="D1032" s="57">
        <v>9403.901902572743</v>
      </c>
    </row>
    <row r="1033" spans="1:4" x14ac:dyDescent="0.2">
      <c r="A1033">
        <v>996</v>
      </c>
      <c r="B1033" s="58">
        <v>1.0287333015949907</v>
      </c>
      <c r="C1033" s="57">
        <v>6600.3599608901095</v>
      </c>
      <c r="D1033" s="57">
        <v>6416.0068996081282</v>
      </c>
    </row>
    <row r="1034" spans="1:4" x14ac:dyDescent="0.2">
      <c r="A1034">
        <v>997</v>
      </c>
      <c r="B1034" s="58">
        <v>0.71391973398113517</v>
      </c>
      <c r="C1034" s="57">
        <v>5204.3303862856392</v>
      </c>
      <c r="D1034" s="57">
        <v>7289.7976321006972</v>
      </c>
    </row>
    <row r="1035" spans="1:4" x14ac:dyDescent="0.2">
      <c r="A1035">
        <v>998</v>
      </c>
      <c r="B1035" s="58">
        <v>1.1617777691773901</v>
      </c>
      <c r="C1035" s="57">
        <v>6613.0095109180493</v>
      </c>
      <c r="D1035" s="57">
        <v>5692.14671373895</v>
      </c>
    </row>
    <row r="1036" spans="1:4" x14ac:dyDescent="0.2">
      <c r="A1036">
        <v>999</v>
      </c>
      <c r="B1036" s="58">
        <v>1.0279485824920647</v>
      </c>
      <c r="C1036" s="57">
        <v>5917.7071624742621</v>
      </c>
      <c r="D1036" s="57">
        <v>5756.8124157804796</v>
      </c>
    </row>
    <row r="1037" spans="1:4" x14ac:dyDescent="0.2">
      <c r="A1037">
        <v>1000</v>
      </c>
      <c r="B1037" s="58">
        <v>0.83428719483527214</v>
      </c>
      <c r="C1037" s="57">
        <v>4607.0309651979314</v>
      </c>
      <c r="D1037" s="57">
        <v>5522.1163571946927</v>
      </c>
    </row>
  </sheetData>
  <scenarios current="19" show="4" sqref="B33 C33 B35">
    <scenario name="cAsympLow" locked="1" count="1" user="Andrew Briggs" comment="Created by Andrew Briggs on 05/03/98_x000a_Modified by Andrew Briggs on 05/03/98">
      <inputCells r="B5" val="250"/>
    </scenario>
    <scenario name="cAsympHigh" locked="1" count="1" user="Andrew Briggs" comment="Created by Andrew Briggs on 05/03/98">
      <inputCells r="B5" val="750"/>
    </scenario>
    <scenario name="cDeathLow" locked="1" count="1" user="Andrew Briggs" comment="Created by Andrew Briggs on 05/03/98_x000a_Modified by Andrew Briggs on 05/03/98">
      <inputCells r="B6" val="500"/>
    </scenario>
    <scenario name="cDeathHigh" locked="1" count="1" user="Andrew Briggs" comment="Created by Andrew Briggs on 05/03/98">
      <inputCells r="B6" val="1500"/>
    </scenario>
    <scenario name="cDrugLow" locked="1" count="1" user="Andrew Briggs" comment="Created by Andrew Briggs on 05/03/98_x000a_Modified by Andrew Briggs on 05/03/98">
      <inputCells r="B7" val="800"/>
    </scenario>
    <scenario name="cDrugHigh" locked="1" count="1" user="Andrew Briggs" comment="Created by Andrew Briggs on 05/03/98_x000a_Modified by Andrew Briggs on 05/03/98">
      <inputCells r="B7" val="1200"/>
    </scenario>
    <scenario name="cmDeathLow" locked="1" count="1" user="Andrew Briggs" comment="Created by Andrew Briggs on 05/03/98">
      <inputCells r="B8" val="0.1"/>
    </scenario>
    <scenario name="cmDeathHigh" locked="1" count="1" user="Andrew Briggs" comment="Created by Andrew Briggs on 05/03/98">
      <inputCells r="B8" val="0.2"/>
    </scenario>
    <scenario name="cProgLow" locked="1" count="1" user="Andrew Briggs" comment="Created by Andrew Briggs on 05/03/98">
      <inputCells r="B9" val="2000"/>
    </scenario>
    <scenario name="cProgHigh" locked="1" count="1" user="Andrew Briggs" comment="Created by Andrew Briggs on 05/03/98">
      <inputCells r="B9" val="4000"/>
    </scenario>
    <scenario name="effLow" locked="1" count="1" user="Andrew Briggs" comment="Created by Andrew Briggs on 05/03/98">
      <inputCells r="B10" val="0.4" numFmtId="9"/>
    </scenario>
    <scenario name="effHigh" locked="1" count="1" user="Andrew Briggs" comment="Created by Andrew Briggs on 05/03/98">
      <inputCells r="B10" val="0.6" numFmtId="9"/>
    </scenario>
    <scenario name="progLow" locked="1" count="1" user="Andrew Briggs" comment="Created by Andrew Briggs on 05/03/98">
      <inputCells r="B11" val="0.005"/>
    </scenario>
    <scenario name="progHigh" locked="1" count="1" user="Andrew Briggs" comment="Created by Andrew Briggs on 05/03/98">
      <inputCells r="B11" val="0.015"/>
    </scenario>
    <scenario name="uAsympLow" locked="1" count="1" user="Andrew Briggs" comment="Created by Andrew Briggs on 05/03/98_x000a_Modified by Andrew Briggs on 05/03/98">
      <inputCells r="B12" val="0.9"/>
    </scenario>
    <scenario name="uAsympHigh" locked="1" count="1" user="Andrew Briggs" comment="Created by Andrew Briggs on 05/03/98">
      <inputCells r="B12" val="1"/>
    </scenario>
    <scenario name="uProgLow" locked="1" count="1" user="Andrew Briggs" comment="Created by Andrew Briggs on 05/03/98">
      <inputCells r="B13" val="0.6"/>
    </scenario>
    <scenario name="uProgHigh" locked="1" count="1" user="Andrew Briggs" comment="Created by Andrew Briggs on 05/03/98">
      <inputCells r="B13" val="0.9"/>
    </scenario>
    <scenario name="worst-case" locked="1" count="9" user="Andrew Briggs" comment="Created by Andrew Briggs on 05/03/98">
      <inputCells r="B5" val="750"/>
      <inputCells r="B6" val="500"/>
      <inputCells r="B7" val="1200"/>
      <inputCells r="B8" val="0.1"/>
      <inputCells r="B9" val="2000"/>
      <inputCells r="B10" val="0.4" numFmtId="9"/>
      <inputCells r="B11" val="0.005"/>
      <inputCells r="B12" val="0.9"/>
      <inputCells r="B13" val="0.9"/>
    </scenario>
    <scenario name="best-case" locked="1" count="9" user="Andrew Briggs" comment="Created by Andrew Briggs on 05/03/98">
      <inputCells r="B5" val="250"/>
      <inputCells r="B6" val="1500"/>
      <inputCells r="B7" val="800"/>
      <inputCells r="B8" val="0.2"/>
      <inputCells r="B9" val="4000"/>
      <inputCells r="B10" val="0.6" numFmtId="9"/>
      <inputCells r="B11" val="0.015"/>
      <inputCells r="B12" val="1"/>
      <inputCells r="B13" val="0.6"/>
    </scenario>
  </scenarios>
  <phoneticPr fontId="0" type="noConversion"/>
  <pageMargins left="0.75" right="0.75" top="1" bottom="1" header="0.5" footer="0.5"/>
  <pageSetup scale="10" orientation="landscape" r:id="rId1"/>
  <headerFooter alignWithMargins="0"/>
  <rowBreaks count="1" manualBreakCount="1">
    <brk id="42" max="16383" man="1"/>
  </rowBreaks>
  <colBreaks count="1" manualBreakCount="1">
    <brk id="14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robabilisticSA">
                <anchor moveWithCells="1" sizeWithCells="1">
                  <from>
                    <xdr:col>4</xdr:col>
                    <xdr:colOff>323850</xdr:colOff>
                    <xdr:row>0</xdr:row>
                    <xdr:rowOff>190500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AG87"/>
  <sheetViews>
    <sheetView zoomScale="110" zoomScaleNormal="110" workbookViewId="0">
      <selection activeCell="A2" sqref="A2:C47"/>
    </sheetView>
  </sheetViews>
  <sheetFormatPr defaultRowHeight="12.75" x14ac:dyDescent="0.2"/>
  <cols>
    <col min="1" max="1" width="6" customWidth="1"/>
    <col min="2" max="2" width="8.28515625" bestFit="1" customWidth="1"/>
    <col min="3" max="3" width="9.140625" customWidth="1"/>
    <col min="4" max="4" width="5.28515625" style="50" customWidth="1"/>
    <col min="5" max="5" width="7.85546875" customWidth="1"/>
    <col min="6" max="6" width="11.140625" customWidth="1"/>
    <col min="7" max="7" width="6.85546875" customWidth="1"/>
    <col min="8" max="8" width="9.140625" customWidth="1"/>
    <col min="9" max="9" width="7.85546875" customWidth="1"/>
    <col min="10" max="10" width="10.140625" customWidth="1"/>
    <col min="11" max="11" width="9.7109375" bestFit="1" customWidth="1"/>
    <col min="12" max="13" width="6.28515625" bestFit="1" customWidth="1"/>
    <col min="14" max="14" width="5.7109375" bestFit="1" customWidth="1"/>
    <col min="15" max="15" width="7.28515625" bestFit="1" customWidth="1"/>
    <col min="16" max="16" width="4.7109375" style="50" customWidth="1"/>
    <col min="17" max="17" width="12.85546875" bestFit="1" customWidth="1"/>
    <col min="18" max="18" width="10.5703125" bestFit="1" customWidth="1"/>
    <col min="19" max="19" width="12.85546875" bestFit="1" customWidth="1"/>
    <col min="20" max="20" width="4.42578125" customWidth="1"/>
    <col min="21" max="21" width="4.7109375" customWidth="1"/>
    <col min="22" max="22" width="7.85546875" bestFit="1" customWidth="1"/>
    <col min="23" max="23" width="6.85546875" bestFit="1" customWidth="1"/>
    <col min="24" max="24" width="7.85546875" bestFit="1" customWidth="1"/>
    <col min="25" max="25" width="9.7109375" bestFit="1" customWidth="1"/>
    <col min="26" max="27" width="6.28515625" bestFit="1" customWidth="1"/>
    <col min="28" max="28" width="5.28515625" bestFit="1" customWidth="1"/>
    <col min="29" max="29" width="7.28515625" bestFit="1" customWidth="1"/>
    <col min="30" max="30" width="6.7109375" customWidth="1"/>
    <col min="31" max="33" width="12.85546875" bestFit="1" customWidth="1"/>
  </cols>
  <sheetData>
    <row r="1" spans="1:33" x14ac:dyDescent="0.2">
      <c r="A1" s="1" t="s">
        <v>33</v>
      </c>
      <c r="B1" s="1" t="s">
        <v>135</v>
      </c>
      <c r="C1" s="1" t="s">
        <v>133</v>
      </c>
      <c r="D1" s="51"/>
      <c r="E1" s="1" t="s">
        <v>36</v>
      </c>
      <c r="F1" s="1" t="s">
        <v>140</v>
      </c>
      <c r="G1" s="1" t="s">
        <v>34</v>
      </c>
      <c r="H1" s="1" t="s">
        <v>141</v>
      </c>
      <c r="I1" s="1" t="s">
        <v>35</v>
      </c>
      <c r="J1" s="1" t="s">
        <v>142</v>
      </c>
      <c r="K1" s="1"/>
      <c r="L1" s="1" t="s">
        <v>43</v>
      </c>
      <c r="M1" s="1" t="s">
        <v>46</v>
      </c>
      <c r="N1" s="1" t="s">
        <v>45</v>
      </c>
      <c r="O1" s="1" t="s">
        <v>44</v>
      </c>
      <c r="P1" s="1"/>
      <c r="Q1" s="1" t="s">
        <v>47</v>
      </c>
      <c r="R1" s="1" t="s">
        <v>48</v>
      </c>
      <c r="S1" s="1" t="s">
        <v>49</v>
      </c>
      <c r="T1" s="1"/>
      <c r="U1" s="1"/>
      <c r="V1" s="1" t="s">
        <v>36</v>
      </c>
      <c r="W1" s="1" t="s">
        <v>34</v>
      </c>
      <c r="X1" s="1" t="s">
        <v>35</v>
      </c>
      <c r="Y1" s="1"/>
      <c r="Z1" s="1" t="s">
        <v>43</v>
      </c>
      <c r="AA1" s="1" t="s">
        <v>46</v>
      </c>
      <c r="AB1" s="1" t="s">
        <v>45</v>
      </c>
      <c r="AC1" s="1" t="s">
        <v>44</v>
      </c>
      <c r="AD1" s="1"/>
      <c r="AE1" s="1" t="s">
        <v>47</v>
      </c>
      <c r="AF1" s="1" t="s">
        <v>48</v>
      </c>
      <c r="AG1" s="1" t="s">
        <v>49</v>
      </c>
    </row>
    <row r="2" spans="1:33" x14ac:dyDescent="0.2">
      <c r="A2">
        <v>0</v>
      </c>
      <c r="B2">
        <f t="shared" ref="B2:B47" si="0" xml:space="preserve"> ini_age + ncycle</f>
        <v>55</v>
      </c>
      <c r="C2" s="44">
        <v>0</v>
      </c>
      <c r="D2" s="52"/>
      <c r="E2" s="62">
        <f>n_cohort</f>
        <v>1000</v>
      </c>
      <c r="F2" s="62"/>
      <c r="G2" s="62">
        <v>0</v>
      </c>
      <c r="H2" s="62"/>
      <c r="I2" s="62">
        <v>0</v>
      </c>
      <c r="J2" s="62"/>
      <c r="L2" s="6"/>
      <c r="M2" s="6"/>
      <c r="P2"/>
      <c r="V2" s="48">
        <v>1000</v>
      </c>
      <c r="W2" s="48">
        <v>0</v>
      </c>
      <c r="X2" s="48">
        <v>0</v>
      </c>
      <c r="Z2" s="6"/>
      <c r="AA2" s="6"/>
    </row>
    <row r="3" spans="1:33" x14ac:dyDescent="0.2">
      <c r="A3">
        <v>1</v>
      </c>
      <c r="B3">
        <f t="shared" si="0"/>
        <v>56</v>
      </c>
      <c r="C3" s="44">
        <f t="shared" ref="C3:C47" si="1">IF($B3&lt;=65,_nD55,IF($B3&lt;=75,_nD65,IF($B3&lt;=85,_nD75,_nD85)))</f>
        <v>1.38E-2</v>
      </c>
      <c r="D3" s="52"/>
      <c r="E3" s="62">
        <f t="shared" ref="E3:E47" si="2">n_cohort - Prog - Death</f>
        <v>976.2</v>
      </c>
      <c r="F3" s="62">
        <f>E2</f>
        <v>1000</v>
      </c>
      <c r="G3" s="62">
        <f t="shared" ref="G3:G47" si="3">Prog_lag*(1-tpDcm-rDeath)+Asymp_lag*tpProg*ncycle</f>
        <v>10</v>
      </c>
      <c r="H3" s="62">
        <f>G2</f>
        <v>0</v>
      </c>
      <c r="I3" s="62">
        <f t="shared" ref="I3:I47" si="4">Death_lag+Prog_lag*tpDcm+(Asymp_lag + Prog_lag)*rDeath</f>
        <v>13.799999999999999</v>
      </c>
      <c r="J3" s="62">
        <f>I2</f>
        <v>0</v>
      </c>
      <c r="L3" s="62">
        <f t="shared" ref="L3:L47" si="5">E3+G3</f>
        <v>986.2</v>
      </c>
      <c r="M3" s="62">
        <f t="shared" ref="M3:M47" si="6">E3*uAsymp+G3*uProg</f>
        <v>934.89</v>
      </c>
      <c r="N3" s="62">
        <f t="shared" ref="N3:N47" si="7">(E3+G3)/((1+oDR)^ncycle)</f>
        <v>930.37735849056605</v>
      </c>
      <c r="O3" s="62">
        <f t="shared" ref="O3:O47" si="8">(E3*uAsymp+G3*uProg)/((1+oDR)^ncycle)</f>
        <v>881.97169811320748</v>
      </c>
      <c r="P3" s="52"/>
      <c r="Q3" s="48">
        <f>(E3*cAsymp+'Markov Model'!G3*cProg)/((1+cDR)^ncycle)</f>
        <v>488773.58490566036</v>
      </c>
      <c r="R3" s="48">
        <f t="shared" ref="R3:R47" si="9">(G2*tpDcm*cDeath)/((1+cDR)^(ncycle-1))</f>
        <v>0</v>
      </c>
      <c r="S3" s="48">
        <f t="shared" ref="S3:S47" si="10">Q3+R3</f>
        <v>488773.58490566036</v>
      </c>
      <c r="V3" s="48">
        <f>$E$2-W3-X3</f>
        <v>981.2</v>
      </c>
      <c r="W3" s="48">
        <f t="shared" ref="W3:W47" si="11">W2*(1-tpDcm-rDeath)+V2*tpProg*(1-effect)*ncycle</f>
        <v>5</v>
      </c>
      <c r="X3" s="48">
        <f t="shared" ref="X3:X47" si="12">X2+W2*tpDcm+(V2+W2)*rDeath</f>
        <v>13.799999999999999</v>
      </c>
      <c r="Z3" s="48">
        <f t="shared" ref="Z3:Z47" si="13">V3+W3</f>
        <v>986.2</v>
      </c>
      <c r="AA3" s="48">
        <f t="shared" ref="AA3:AA47" si="14">V3*uAsymp+W3*uProg</f>
        <v>935.89</v>
      </c>
      <c r="AB3" s="48">
        <f t="shared" ref="AB3:AB47" si="15">(V3+W3)/((1+oDR)^ncycle)</f>
        <v>930.37735849056605</v>
      </c>
      <c r="AC3" s="48">
        <f t="shared" ref="AC3:AC47" si="16">(V3*uAsymp+W3*uProg)/((1+oDR)^ncycle)</f>
        <v>882.91509433962256</v>
      </c>
      <c r="AE3" s="48">
        <f>(V3*(cAsymp+cDrug)+'Markov Model'!W3*cProg)/((1+cDR)^ncycle)</f>
        <v>1402641.5094339622</v>
      </c>
      <c r="AF3" s="44">
        <f t="shared" ref="AF3:AF47" si="17">(W2*tpDcm*cDeath)/((1+cDR)^(ncycle-1))</f>
        <v>0</v>
      </c>
      <c r="AG3" s="48">
        <f t="shared" ref="AG3:AG47" si="18">AE3+AF3</f>
        <v>1402641.5094339622</v>
      </c>
    </row>
    <row r="4" spans="1:33" x14ac:dyDescent="0.2">
      <c r="A4">
        <v>2</v>
      </c>
      <c r="B4">
        <f t="shared" si="0"/>
        <v>57</v>
      </c>
      <c r="C4" s="44">
        <f t="shared" si="1"/>
        <v>1.38E-2</v>
      </c>
      <c r="D4" s="52"/>
      <c r="E4" s="62">
        <f t="shared" si="2"/>
        <v>943.20443999999998</v>
      </c>
      <c r="F4" s="62">
        <f t="shared" ref="F4:F47" si="19">E3</f>
        <v>976.2</v>
      </c>
      <c r="G4" s="62">
        <f t="shared" si="3"/>
        <v>27.886000000000003</v>
      </c>
      <c r="H4" s="62">
        <f t="shared" ref="H4:H47" si="20">G3</f>
        <v>10</v>
      </c>
      <c r="I4" s="62">
        <f t="shared" si="4"/>
        <v>28.909559999999999</v>
      </c>
      <c r="J4" s="62">
        <f t="shared" ref="J4:J47" si="21">I3</f>
        <v>13.799999999999999</v>
      </c>
      <c r="L4" s="62">
        <f t="shared" si="5"/>
        <v>971.09043999999994</v>
      </c>
      <c r="M4" s="62">
        <f t="shared" si="6"/>
        <v>916.95871799999986</v>
      </c>
      <c r="N4" s="62">
        <f t="shared" si="7"/>
        <v>864.26703453186167</v>
      </c>
      <c r="O4" s="62">
        <f t="shared" si="8"/>
        <v>816.08999466002115</v>
      </c>
      <c r="P4" s="52"/>
      <c r="Q4" s="48">
        <f>(E4*cAsymp+'Markov Model'!G4*cProg)/((1+cDR)^ncycle)</f>
        <v>494179.61908152356</v>
      </c>
      <c r="R4" s="48">
        <f t="shared" si="9"/>
        <v>1415.0943396226414</v>
      </c>
      <c r="S4" s="48">
        <f t="shared" si="10"/>
        <v>495594.71342114621</v>
      </c>
      <c r="V4" s="48">
        <f t="shared" ref="V4:V47" si="22">$E$2-W4-X4</f>
        <v>957.84744000000001</v>
      </c>
      <c r="W4" s="48">
        <f t="shared" si="11"/>
        <v>13.993000000000002</v>
      </c>
      <c r="X4" s="48">
        <f t="shared" si="12"/>
        <v>28.159559999999999</v>
      </c>
      <c r="Z4" s="48">
        <f t="shared" si="13"/>
        <v>971.84044000000006</v>
      </c>
      <c r="AA4" s="48">
        <f t="shared" si="14"/>
        <v>920.44981799999994</v>
      </c>
      <c r="AB4" s="48">
        <f t="shared" si="15"/>
        <v>864.93453186187253</v>
      </c>
      <c r="AC4" s="48">
        <f t="shared" si="16"/>
        <v>819.1970612317549</v>
      </c>
      <c r="AE4" s="48">
        <f>(V4*(cAsymp+cDrug)+'Markov Model'!W4*cProg)/((1+cDR)^ncycle)</f>
        <v>1316082.3780704874</v>
      </c>
      <c r="AF4" s="44">
        <f t="shared" si="17"/>
        <v>707.54716981132071</v>
      </c>
      <c r="AG4" s="48">
        <f t="shared" si="18"/>
        <v>1316789.9252402987</v>
      </c>
    </row>
    <row r="5" spans="1:33" x14ac:dyDescent="0.2">
      <c r="A5">
        <v>3</v>
      </c>
      <c r="B5">
        <f t="shared" si="0"/>
        <v>58</v>
      </c>
      <c r="C5" s="44">
        <f t="shared" si="1"/>
        <v>1.38E-2</v>
      </c>
      <c r="D5" s="52"/>
      <c r="E5" s="62">
        <f t="shared" si="2"/>
        <v>901.89208552800005</v>
      </c>
      <c r="F5" s="62">
        <f t="shared" si="19"/>
        <v>943.20443999999998</v>
      </c>
      <c r="G5" s="62">
        <f t="shared" si="3"/>
        <v>51.6144064</v>
      </c>
      <c r="H5" s="62">
        <f t="shared" si="20"/>
        <v>27.886000000000003</v>
      </c>
      <c r="I5" s="62">
        <f t="shared" si="4"/>
        <v>46.493508071999997</v>
      </c>
      <c r="J5" s="62">
        <f t="shared" si="21"/>
        <v>28.909559999999999</v>
      </c>
      <c r="L5" s="62">
        <f t="shared" si="5"/>
        <v>953.50649192800006</v>
      </c>
      <c r="M5" s="62">
        <f t="shared" si="6"/>
        <v>895.50828605160007</v>
      </c>
      <c r="N5" s="62">
        <f t="shared" si="7"/>
        <v>800.58243711923251</v>
      </c>
      <c r="O5" s="62">
        <f t="shared" si="8"/>
        <v>751.88602508412976</v>
      </c>
      <c r="P5" s="52"/>
      <c r="Q5" s="48">
        <f>(E5*cAsymp+'Markov Model'!G5*cProg)/((1+cDR)^ncycle)</f>
        <v>508632.34579888091</v>
      </c>
      <c r="R5" s="48">
        <f t="shared" si="9"/>
        <v>3722.7661089355634</v>
      </c>
      <c r="S5" s="48">
        <f t="shared" si="10"/>
        <v>512355.11190781649</v>
      </c>
      <c r="V5" s="48">
        <f t="shared" si="22"/>
        <v>930.26143372800004</v>
      </c>
      <c r="W5" s="48">
        <f t="shared" si="11"/>
        <v>26.068658200000002</v>
      </c>
      <c r="X5" s="48">
        <f t="shared" si="12"/>
        <v>43.669908071999998</v>
      </c>
      <c r="Z5" s="48">
        <f t="shared" si="13"/>
        <v>956.330091928</v>
      </c>
      <c r="AA5" s="48">
        <f t="shared" si="14"/>
        <v>903.29985569159999</v>
      </c>
      <c r="AB5" s="48">
        <f t="shared" si="15"/>
        <v>802.95318612680251</v>
      </c>
      <c r="AC5" s="48">
        <f t="shared" si="16"/>
        <v>758.42797719896271</v>
      </c>
      <c r="AE5" s="48">
        <f>(V5*(cAsymp+cDrug)+'Markov Model'!W5*cProg)/((1+cDR)^ncycle)</f>
        <v>1237261.4013514509</v>
      </c>
      <c r="AF5" s="44">
        <f t="shared" si="17"/>
        <v>1868.0580277678889</v>
      </c>
      <c r="AG5" s="48">
        <f t="shared" si="18"/>
        <v>1239129.4593792188</v>
      </c>
    </row>
    <row r="6" spans="1:33" x14ac:dyDescent="0.2">
      <c r="A6">
        <v>4</v>
      </c>
      <c r="B6">
        <f t="shared" si="0"/>
        <v>59</v>
      </c>
      <c r="C6" s="44">
        <f t="shared" si="1"/>
        <v>1.38E-2</v>
      </c>
      <c r="D6" s="52"/>
      <c r="E6" s="62">
        <f t="shared" si="2"/>
        <v>853.37029132659359</v>
      </c>
      <c r="F6" s="62">
        <f t="shared" si="19"/>
        <v>901.89208552800005</v>
      </c>
      <c r="G6" s="62">
        <f t="shared" si="3"/>
        <v>79.235650052799997</v>
      </c>
      <c r="H6" s="62">
        <f t="shared" si="20"/>
        <v>51.6144064</v>
      </c>
      <c r="I6" s="62">
        <f t="shared" si="4"/>
        <v>67.394058620606401</v>
      </c>
      <c r="J6" s="62">
        <f t="shared" si="21"/>
        <v>46.493508071999997</v>
      </c>
      <c r="L6" s="62">
        <f t="shared" si="5"/>
        <v>932.60594137939358</v>
      </c>
      <c r="M6" s="62">
        <f t="shared" si="6"/>
        <v>870.12851429986392</v>
      </c>
      <c r="N6" s="62">
        <f t="shared" si="7"/>
        <v>738.71125646474638</v>
      </c>
      <c r="O6" s="62">
        <f t="shared" si="8"/>
        <v>689.22328237963541</v>
      </c>
      <c r="P6" s="52"/>
      <c r="Q6" s="48">
        <f>(E6*cAsymp+'Markov Model'!G6*cProg)/((1+cDR)^ncycle)</f>
        <v>526260.76900579373</v>
      </c>
      <c r="R6" s="48">
        <f t="shared" si="9"/>
        <v>6500.4676343558758</v>
      </c>
      <c r="S6" s="48">
        <f t="shared" si="10"/>
        <v>532761.23664014961</v>
      </c>
      <c r="V6" s="48">
        <f t="shared" si="22"/>
        <v>898.8185972679936</v>
      </c>
      <c r="W6" s="48">
        <f t="shared" si="11"/>
        <v>40.403840661400004</v>
      </c>
      <c r="X6" s="48">
        <f t="shared" si="12"/>
        <v>60.7775620706064</v>
      </c>
      <c r="Z6" s="48">
        <f t="shared" si="13"/>
        <v>939.22243792939355</v>
      </c>
      <c r="AA6" s="48">
        <f t="shared" si="14"/>
        <v>884.18054790064389</v>
      </c>
      <c r="AB6" s="48">
        <f t="shared" si="15"/>
        <v>743.9521414548376</v>
      </c>
      <c r="AC6" s="48">
        <f t="shared" si="16"/>
        <v>700.35380915042094</v>
      </c>
      <c r="AE6" s="48">
        <f>(V6*(cAsymp+cDrug)+'Markov Model'!W6*cProg)/((1+cDR)^ncycle)</f>
        <v>1163933.6514198168</v>
      </c>
      <c r="AF6" s="44">
        <f t="shared" si="17"/>
        <v>3283.1622161247196</v>
      </c>
      <c r="AG6" s="48">
        <f t="shared" si="18"/>
        <v>1167216.8136359416</v>
      </c>
    </row>
    <row r="7" spans="1:33" x14ac:dyDescent="0.2">
      <c r="A7">
        <v>5</v>
      </c>
      <c r="B7">
        <f t="shared" si="0"/>
        <v>60</v>
      </c>
      <c r="C7" s="44">
        <f t="shared" si="1"/>
        <v>1.38E-2</v>
      </c>
      <c r="D7" s="52"/>
      <c r="E7" s="62">
        <f t="shared" si="2"/>
        <v>798.9252667399569</v>
      </c>
      <c r="F7" s="62">
        <f t="shared" si="19"/>
        <v>853.37029132659359</v>
      </c>
      <c r="G7" s="62">
        <f t="shared" si="3"/>
        <v>108.92536514048103</v>
      </c>
      <c r="H7" s="62">
        <f t="shared" si="20"/>
        <v>79.235650052799997</v>
      </c>
      <c r="I7" s="62">
        <f t="shared" si="4"/>
        <v>92.149368119562041</v>
      </c>
      <c r="J7" s="62">
        <f t="shared" si="21"/>
        <v>67.394058620606401</v>
      </c>
      <c r="L7" s="62">
        <f t="shared" si="5"/>
        <v>907.85063188043796</v>
      </c>
      <c r="M7" s="62">
        <f t="shared" si="6"/>
        <v>840.67302725831985</v>
      </c>
      <c r="N7" s="62">
        <f t="shared" si="7"/>
        <v>678.39880441427124</v>
      </c>
      <c r="O7" s="62">
        <f t="shared" si="8"/>
        <v>628.19979032682897</v>
      </c>
      <c r="P7" s="52"/>
      <c r="Q7" s="48">
        <f>(E7*cAsymp+'Markov Model'!G7*cProg)/((1+cDR)^ncycle)</f>
        <v>542687.82554124552</v>
      </c>
      <c r="R7" s="48">
        <f t="shared" si="9"/>
        <v>9414.3084464052281</v>
      </c>
      <c r="S7" s="48">
        <f t="shared" si="10"/>
        <v>552102.13398765074</v>
      </c>
      <c r="V7" s="48">
        <f t="shared" si="22"/>
        <v>863.94443569399539</v>
      </c>
      <c r="W7" s="48">
        <f t="shared" si="11"/>
        <v>56.256156492762528</v>
      </c>
      <c r="X7" s="48">
        <f t="shared" si="12"/>
        <v>79.799407813242027</v>
      </c>
      <c r="Z7" s="48">
        <f t="shared" si="13"/>
        <v>920.20059218675794</v>
      </c>
      <c r="AA7" s="48">
        <f t="shared" si="14"/>
        <v>862.93933127886748</v>
      </c>
      <c r="AB7" s="48">
        <f t="shared" si="15"/>
        <v>687.62741318774033</v>
      </c>
      <c r="AC7" s="48">
        <f t="shared" si="16"/>
        <v>644.83846798570346</v>
      </c>
      <c r="AE7" s="48">
        <f>(V7*(cAsymp+cDrug)+'Markov Model'!W7*cProg)/((1+cDR)^ncycle)</f>
        <v>1094497.9288514834</v>
      </c>
      <c r="AF7" s="44">
        <f t="shared" si="17"/>
        <v>4800.5439237560413</v>
      </c>
      <c r="AG7" s="48">
        <f t="shared" si="18"/>
        <v>1099298.4727752395</v>
      </c>
    </row>
    <row r="8" spans="1:33" x14ac:dyDescent="0.2">
      <c r="A8">
        <v>6</v>
      </c>
      <c r="B8">
        <f t="shared" si="0"/>
        <v>61</v>
      </c>
      <c r="C8" s="44">
        <f t="shared" si="1"/>
        <v>1.38E-2</v>
      </c>
      <c r="D8" s="52"/>
      <c r="E8" s="62">
        <f t="shared" si="2"/>
        <v>739.96458205454815</v>
      </c>
      <c r="F8" s="62">
        <f t="shared" si="19"/>
        <v>798.9252667399569</v>
      </c>
      <c r="G8" s="62">
        <f t="shared" si="3"/>
        <v>139.01890633486767</v>
      </c>
      <c r="H8" s="62">
        <f t="shared" si="20"/>
        <v>108.92536514048103</v>
      </c>
      <c r="I8" s="62">
        <f t="shared" si="4"/>
        <v>121.01651161058423</v>
      </c>
      <c r="J8" s="62">
        <f t="shared" si="21"/>
        <v>92.149368119562041</v>
      </c>
      <c r="L8" s="62">
        <f t="shared" si="5"/>
        <v>878.98348838941581</v>
      </c>
      <c r="M8" s="62">
        <f t="shared" si="6"/>
        <v>807.23053270297146</v>
      </c>
      <c r="N8" s="62">
        <f t="shared" si="7"/>
        <v>619.64867501255446</v>
      </c>
      <c r="O8" s="62">
        <f t="shared" si="8"/>
        <v>569.06567259369456</v>
      </c>
      <c r="P8" s="52"/>
      <c r="Q8" s="48">
        <f>(E8*cAsymp+'Markov Model'!G8*cProg)/((1+cDR)^ncycle)</f>
        <v>554831.44585917983</v>
      </c>
      <c r="R8" s="48">
        <f t="shared" si="9"/>
        <v>12209.305400046591</v>
      </c>
      <c r="S8" s="48">
        <f t="shared" si="10"/>
        <v>567040.75125922647</v>
      </c>
      <c r="V8" s="48">
        <f t="shared" si="22"/>
        <v>826.1036694105984</v>
      </c>
      <c r="W8" s="48">
        <f t="shared" si="11"/>
        <v>72.959731130067894</v>
      </c>
      <c r="X8" s="48">
        <f t="shared" si="12"/>
        <v>100.93659945933368</v>
      </c>
      <c r="Z8" s="48">
        <f t="shared" si="13"/>
        <v>899.06340054066629</v>
      </c>
      <c r="AA8" s="48">
        <f t="shared" si="14"/>
        <v>839.51828428761928</v>
      </c>
      <c r="AB8" s="48">
        <f t="shared" si="15"/>
        <v>633.80422073468128</v>
      </c>
      <c r="AC8" s="48">
        <f t="shared" si="16"/>
        <v>591.82726340038994</v>
      </c>
      <c r="AE8" s="48">
        <f>(V8*(cAsymp+cDrug)+'Markov Model'!W8*cProg)/((1+cDR)^ncycle)</f>
        <v>1027856.9283337011</v>
      </c>
      <c r="AF8" s="44">
        <f t="shared" si="17"/>
        <v>6305.6809069873025</v>
      </c>
      <c r="AG8" s="48">
        <f t="shared" si="18"/>
        <v>1034162.6092406884</v>
      </c>
    </row>
    <row r="9" spans="1:33" x14ac:dyDescent="0.2">
      <c r="A9">
        <v>7</v>
      </c>
      <c r="B9">
        <f t="shared" si="0"/>
        <v>62</v>
      </c>
      <c r="C9" s="44">
        <f t="shared" si="1"/>
        <v>1.38E-2</v>
      </c>
      <c r="D9" s="52"/>
      <c r="E9" s="62">
        <f t="shared" si="2"/>
        <v>677.95555007837697</v>
      </c>
      <c r="F9" s="62">
        <f t="shared" si="19"/>
        <v>739.96458205454815</v>
      </c>
      <c r="G9" s="62">
        <f t="shared" si="3"/>
        <v>168.0451302210347</v>
      </c>
      <c r="H9" s="62">
        <f t="shared" si="20"/>
        <v>139.01890633486767</v>
      </c>
      <c r="I9" s="62">
        <f t="shared" si="4"/>
        <v>153.99931970058833</v>
      </c>
      <c r="J9" s="62">
        <f t="shared" si="21"/>
        <v>121.01651161058423</v>
      </c>
      <c r="L9" s="62">
        <f t="shared" si="5"/>
        <v>846.00068029941167</v>
      </c>
      <c r="M9" s="62">
        <f t="shared" si="6"/>
        <v>770.09162024023408</v>
      </c>
      <c r="N9" s="62">
        <f t="shared" si="7"/>
        <v>562.6387705624594</v>
      </c>
      <c r="O9" s="62">
        <f t="shared" si="8"/>
        <v>512.15491018171815</v>
      </c>
      <c r="P9" s="52"/>
      <c r="Q9" s="48">
        <f>(E9*cAsymp+'Markov Model'!G9*cProg)/((1+cDR)^ncycle)</f>
        <v>560718.40843895706</v>
      </c>
      <c r="R9" s="48">
        <f t="shared" si="9"/>
        <v>14700.426501174155</v>
      </c>
      <c r="S9" s="48">
        <f t="shared" si="10"/>
        <v>575418.83494013117</v>
      </c>
      <c r="V9" s="48">
        <f t="shared" si="22"/>
        <v>785.7898103433613</v>
      </c>
      <c r="W9" s="48">
        <f t="shared" si="11"/>
        <v>89.922555600333709</v>
      </c>
      <c r="X9" s="48">
        <f t="shared" si="12"/>
        <v>124.28763405630505</v>
      </c>
      <c r="Z9" s="48">
        <f t="shared" si="13"/>
        <v>875.71236594369498</v>
      </c>
      <c r="AA9" s="48">
        <f t="shared" si="14"/>
        <v>813.94223652644348</v>
      </c>
      <c r="AB9" s="48">
        <f t="shared" si="15"/>
        <v>582.39873845790066</v>
      </c>
      <c r="AC9" s="48">
        <f t="shared" si="16"/>
        <v>541.31807447958522</v>
      </c>
      <c r="AE9" s="48">
        <f>(V9*(cAsymp+cDrug)+'Markov Model'!W9*cProg)/((1+cDR)^ncycle)</f>
        <v>963303.56060250395</v>
      </c>
      <c r="AF9" s="44">
        <f t="shared" si="17"/>
        <v>7715.0597231679203</v>
      </c>
      <c r="AG9" s="48">
        <f t="shared" si="18"/>
        <v>971018.62032567186</v>
      </c>
    </row>
    <row r="10" spans="1:33" x14ac:dyDescent="0.2">
      <c r="A10">
        <v>8</v>
      </c>
      <c r="B10">
        <f t="shared" si="0"/>
        <v>63</v>
      </c>
      <c r="C10" s="44">
        <f t="shared" si="1"/>
        <v>1.38E-2</v>
      </c>
      <c r="D10" s="52"/>
      <c r="E10" s="62">
        <f t="shared" si="2"/>
        <v>614.3633194810252</v>
      </c>
      <c r="F10" s="62">
        <f t="shared" si="19"/>
        <v>677.95555007837697</v>
      </c>
      <c r="G10" s="62">
        <f t="shared" si="3"/>
        <v>194.75578189709938</v>
      </c>
      <c r="H10" s="62">
        <f t="shared" si="20"/>
        <v>168.0451302210347</v>
      </c>
      <c r="I10" s="62">
        <f t="shared" si="4"/>
        <v>190.88089862187542</v>
      </c>
      <c r="J10" s="62">
        <f t="shared" si="21"/>
        <v>153.99931970058833</v>
      </c>
      <c r="L10" s="62">
        <f t="shared" si="5"/>
        <v>809.11910137812458</v>
      </c>
      <c r="M10" s="62">
        <f t="shared" si="6"/>
        <v>729.71198992979839</v>
      </c>
      <c r="N10" s="62">
        <f t="shared" si="7"/>
        <v>507.65133409361687</v>
      </c>
      <c r="O10" s="62">
        <f t="shared" si="8"/>
        <v>457.83032999841782</v>
      </c>
      <c r="P10" s="52"/>
      <c r="Q10" s="48">
        <f>(E10*cAsymp+'Markov Model'!G10*cProg)/((1+cDR)^ncycle)</f>
        <v>559306.13442828518</v>
      </c>
      <c r="R10" s="48">
        <f t="shared" si="9"/>
        <v>16763.941389463638</v>
      </c>
      <c r="S10" s="48">
        <f t="shared" si="10"/>
        <v>576070.07581774879</v>
      </c>
      <c r="V10" s="48">
        <f t="shared" si="22"/>
        <v>743.51431854688838</v>
      </c>
      <c r="W10" s="48">
        <f t="shared" si="11"/>
        <v>106.62483340673349</v>
      </c>
      <c r="X10" s="48">
        <f t="shared" si="12"/>
        <v>149.86084804637809</v>
      </c>
      <c r="Z10" s="48">
        <f t="shared" si="13"/>
        <v>850.13915195362188</v>
      </c>
      <c r="AA10" s="48">
        <f t="shared" si="14"/>
        <v>786.30722767459406</v>
      </c>
      <c r="AB10" s="48">
        <f t="shared" si="15"/>
        <v>533.38782129775132</v>
      </c>
      <c r="AC10" s="48">
        <f t="shared" si="16"/>
        <v>493.3388823185345</v>
      </c>
      <c r="AE10" s="48">
        <f>(V10*(cAsymp+cDrug)+'Markov Model'!W10*cProg)/((1+cDR)^ncycle)</f>
        <v>900428.34130409581</v>
      </c>
      <c r="AF10" s="44">
        <f t="shared" si="17"/>
        <v>8970.545291565295</v>
      </c>
      <c r="AG10" s="48">
        <f t="shared" si="18"/>
        <v>909398.88659566105</v>
      </c>
    </row>
    <row r="11" spans="1:33" x14ac:dyDescent="0.2">
      <c r="A11">
        <v>9</v>
      </c>
      <c r="B11">
        <f t="shared" si="0"/>
        <v>64</v>
      </c>
      <c r="C11" s="44">
        <f t="shared" si="1"/>
        <v>1.38E-2</v>
      </c>
      <c r="D11" s="52"/>
      <c r="E11" s="62">
        <f t="shared" si="2"/>
        <v>550.59240691889477</v>
      </c>
      <c r="F11" s="62">
        <f t="shared" si="19"/>
        <v>614.3633194810252</v>
      </c>
      <c r="G11" s="62">
        <f t="shared" si="3"/>
        <v>218.14748357564676</v>
      </c>
      <c r="H11" s="62">
        <f t="shared" si="20"/>
        <v>194.75578189709938</v>
      </c>
      <c r="I11" s="62">
        <f t="shared" si="4"/>
        <v>231.26010950545844</v>
      </c>
      <c r="J11" s="62">
        <f t="shared" si="21"/>
        <v>190.88089862187542</v>
      </c>
      <c r="L11" s="62">
        <f t="shared" si="5"/>
        <v>768.73989049454156</v>
      </c>
      <c r="M11" s="62">
        <f t="shared" si="6"/>
        <v>686.67339925468514</v>
      </c>
      <c r="N11" s="62">
        <f t="shared" si="7"/>
        <v>455.01596003795879</v>
      </c>
      <c r="O11" s="62">
        <f t="shared" si="8"/>
        <v>406.44092996578757</v>
      </c>
      <c r="P11" s="52"/>
      <c r="Q11" s="48">
        <f>(E11*cAsymp+'Markov Model'!G11*cProg)/((1+cDR)^ncycle)</f>
        <v>550310.88089739613</v>
      </c>
      <c r="R11" s="48">
        <f t="shared" si="9"/>
        <v>18328.828042888603</v>
      </c>
      <c r="S11" s="48">
        <f t="shared" si="10"/>
        <v>568639.70894028468</v>
      </c>
      <c r="V11" s="48">
        <f t="shared" si="22"/>
        <v>699.79567661633132</v>
      </c>
      <c r="W11" s="48">
        <f t="shared" si="11"/>
        <v>122.61783002932052</v>
      </c>
      <c r="X11" s="48">
        <f t="shared" si="12"/>
        <v>177.58649335434808</v>
      </c>
      <c r="Z11" s="48">
        <f t="shared" si="13"/>
        <v>822.41350664565186</v>
      </c>
      <c r="AA11" s="48">
        <f t="shared" si="14"/>
        <v>756.76926530750507</v>
      </c>
      <c r="AB11" s="48">
        <f t="shared" si="15"/>
        <v>486.78529096990133</v>
      </c>
      <c r="AC11" s="48">
        <f t="shared" si="16"/>
        <v>447.93056538225812</v>
      </c>
      <c r="AE11" s="48">
        <f>(V11*(cAsymp+cDrug)+'Markov Model'!W11*cProg)/((1+cDR)^ncycle)</f>
        <v>839043.89424846275</v>
      </c>
      <c r="AF11" s="44">
        <f t="shared" si="17"/>
        <v>10034.660935746879</v>
      </c>
      <c r="AG11" s="48">
        <f t="shared" si="18"/>
        <v>849078.5551842096</v>
      </c>
    </row>
    <row r="12" spans="1:33" x14ac:dyDescent="0.2">
      <c r="A12">
        <v>10</v>
      </c>
      <c r="B12">
        <f t="shared" si="0"/>
        <v>65</v>
      </c>
      <c r="C12" s="44">
        <f t="shared" si="1"/>
        <v>1.38E-2</v>
      </c>
      <c r="D12" s="52"/>
      <c r="E12" s="62">
        <f t="shared" si="2"/>
        <v>487.93499101152457</v>
      </c>
      <c r="F12" s="62">
        <f t="shared" si="19"/>
        <v>550.59240691889477</v>
      </c>
      <c r="G12" s="62">
        <f t="shared" si="3"/>
        <v>237.47416645784529</v>
      </c>
      <c r="H12" s="62">
        <f t="shared" si="20"/>
        <v>218.14748357564676</v>
      </c>
      <c r="I12" s="62">
        <f t="shared" si="4"/>
        <v>274.59084253063014</v>
      </c>
      <c r="J12" s="62">
        <f t="shared" si="21"/>
        <v>231.26010950545844</v>
      </c>
      <c r="L12" s="62">
        <f t="shared" si="5"/>
        <v>725.4091574693698</v>
      </c>
      <c r="M12" s="62">
        <f t="shared" si="6"/>
        <v>641.64386630433228</v>
      </c>
      <c r="N12" s="62">
        <f t="shared" si="7"/>
        <v>405.06468465729239</v>
      </c>
      <c r="O12" s="62">
        <f t="shared" si="8"/>
        <v>358.29058358396134</v>
      </c>
      <c r="P12" s="52"/>
      <c r="Q12" s="48">
        <f>(E12*cAsymp+'Markov Model'!G12*cProg)/((1+cDR)^ncycle)</f>
        <v>534043.17783447646</v>
      </c>
      <c r="R12" s="48">
        <f t="shared" si="9"/>
        <v>19368.174052705002</v>
      </c>
      <c r="S12" s="48">
        <f t="shared" si="10"/>
        <v>553411.35188718152</v>
      </c>
      <c r="V12" s="48">
        <f t="shared" si="22"/>
        <v>655.14871244820938</v>
      </c>
      <c r="W12" s="48">
        <f t="shared" si="11"/>
        <v>137.52281330133437</v>
      </c>
      <c r="X12" s="48">
        <f t="shared" si="12"/>
        <v>207.32847425045617</v>
      </c>
      <c r="Z12" s="48">
        <f t="shared" si="13"/>
        <v>792.67152574954378</v>
      </c>
      <c r="AA12" s="48">
        <f t="shared" si="14"/>
        <v>725.53338680179968</v>
      </c>
      <c r="AB12" s="48">
        <f t="shared" si="15"/>
        <v>442.62363978788261</v>
      </c>
      <c r="AC12" s="48">
        <f t="shared" si="16"/>
        <v>405.13405366766085</v>
      </c>
      <c r="AE12" s="48">
        <f>(V12*(cAsymp+cDrug)+'Markov Model'!W12*cProg)/((1+cDR)^ncycle)</f>
        <v>779123.49066303088</v>
      </c>
      <c r="AF12" s="44">
        <f t="shared" si="17"/>
        <v>10886.595779361087</v>
      </c>
      <c r="AG12" s="48">
        <f t="shared" si="18"/>
        <v>790010.08644239197</v>
      </c>
    </row>
    <row r="13" spans="1:33" x14ac:dyDescent="0.2">
      <c r="A13">
        <v>11</v>
      </c>
      <c r="B13">
        <f t="shared" si="0"/>
        <v>66</v>
      </c>
      <c r="C13" s="44">
        <f t="shared" si="1"/>
        <v>3.7900000000000003E-2</v>
      </c>
      <c r="D13" s="52"/>
      <c r="E13" s="62">
        <f t="shared" si="2"/>
        <v>415.76940584092011</v>
      </c>
      <c r="F13" s="62">
        <f t="shared" si="19"/>
        <v>487.93499101152457</v>
      </c>
      <c r="G13" s="62">
        <f t="shared" si="3"/>
        <v>246.52561959168384</v>
      </c>
      <c r="H13" s="62">
        <f t="shared" si="20"/>
        <v>237.47416645784529</v>
      </c>
      <c r="I13" s="62">
        <f t="shared" si="4"/>
        <v>337.70497456739605</v>
      </c>
      <c r="J13" s="62">
        <f t="shared" si="21"/>
        <v>274.59084253063014</v>
      </c>
      <c r="L13" s="62">
        <f t="shared" si="5"/>
        <v>662.29502543260401</v>
      </c>
      <c r="M13" s="62">
        <f t="shared" si="6"/>
        <v>579.87515024263689</v>
      </c>
      <c r="N13" s="62">
        <f t="shared" si="7"/>
        <v>348.88875752682185</v>
      </c>
      <c r="O13" s="62">
        <f t="shared" si="8"/>
        <v>305.47099543241285</v>
      </c>
      <c r="P13" s="52"/>
      <c r="Q13" s="48">
        <f>(E13*cAsymp+'Markov Model'!G13*cProg)/((1+cDR)^ncycle)</f>
        <v>499110.93148925877</v>
      </c>
      <c r="R13" s="48">
        <f t="shared" si="9"/>
        <v>19890.650130349812</v>
      </c>
      <c r="S13" s="48">
        <f t="shared" si="10"/>
        <v>519001.58161960857</v>
      </c>
      <c r="V13" s="48">
        <f t="shared" si="22"/>
        <v>594.28539706177082</v>
      </c>
      <c r="W13" s="48">
        <f t="shared" si="11"/>
        <v>147.71545586666514</v>
      </c>
      <c r="X13" s="48">
        <f t="shared" si="12"/>
        <v>257.99914707156404</v>
      </c>
      <c r="Z13" s="48">
        <f t="shared" si="13"/>
        <v>742.00085292843596</v>
      </c>
      <c r="AA13" s="48">
        <f t="shared" si="14"/>
        <v>675.35771910868107</v>
      </c>
      <c r="AB13" s="48">
        <f t="shared" si="15"/>
        <v>390.87679315264256</v>
      </c>
      <c r="AC13" s="48">
        <f t="shared" si="16"/>
        <v>355.77002160339129</v>
      </c>
      <c r="AE13" s="48">
        <f>(V13*(cAsymp+cDrug)+'Markov Model'!W13*cProg)/((1+cDR)^ncycle)</f>
        <v>703037.1789161074</v>
      </c>
      <c r="AF13" s="44">
        <f t="shared" si="17"/>
        <v>11518.803098120699</v>
      </c>
      <c r="AG13" s="48">
        <f t="shared" si="18"/>
        <v>714555.98201422812</v>
      </c>
    </row>
    <row r="14" spans="1:33" x14ac:dyDescent="0.2">
      <c r="A14">
        <v>12</v>
      </c>
      <c r="B14">
        <f t="shared" si="0"/>
        <v>67</v>
      </c>
      <c r="C14" s="44">
        <f t="shared" si="1"/>
        <v>3.7900000000000003E-2</v>
      </c>
      <c r="D14" s="52"/>
      <c r="E14" s="62">
        <f t="shared" si="2"/>
        <v>350.1194166586389</v>
      </c>
      <c r="F14" s="62">
        <f t="shared" si="19"/>
        <v>415.76940584092011</v>
      </c>
      <c r="G14" s="62">
        <f t="shared" si="3"/>
        <v>250.09578437131682</v>
      </c>
      <c r="H14" s="62">
        <f t="shared" si="20"/>
        <v>246.52561959168384</v>
      </c>
      <c r="I14" s="62">
        <f t="shared" si="4"/>
        <v>399.78479897004433</v>
      </c>
      <c r="J14" s="62">
        <f t="shared" si="21"/>
        <v>337.70497456739605</v>
      </c>
      <c r="L14" s="62">
        <f t="shared" si="5"/>
        <v>600.21520102995578</v>
      </c>
      <c r="M14" s="62">
        <f t="shared" si="6"/>
        <v>520.18528410419458</v>
      </c>
      <c r="N14" s="62">
        <f t="shared" si="7"/>
        <v>298.28856646509854</v>
      </c>
      <c r="O14" s="62">
        <f t="shared" si="8"/>
        <v>258.5161495833828</v>
      </c>
      <c r="P14" s="52"/>
      <c r="Q14" s="48">
        <f>(E14*cAsymp+'Markov Model'!G14*cProg)/((1+cDR)^ncycle)</f>
        <v>459869.14021330944</v>
      </c>
      <c r="R14" s="48">
        <f t="shared" si="9"/>
        <v>19479.993163550866</v>
      </c>
      <c r="S14" s="48">
        <f t="shared" si="10"/>
        <v>479349.13337686029</v>
      </c>
      <c r="V14" s="48">
        <f t="shared" si="22"/>
        <v>536.10485668942351</v>
      </c>
      <c r="W14" s="48">
        <f t="shared" si="11"/>
        <v>155.61684553302499</v>
      </c>
      <c r="X14" s="48">
        <f t="shared" si="12"/>
        <v>308.27829777755153</v>
      </c>
      <c r="Z14" s="48">
        <f t="shared" si="13"/>
        <v>691.72170222244847</v>
      </c>
      <c r="AA14" s="48">
        <f t="shared" si="14"/>
        <v>626.01224800472107</v>
      </c>
      <c r="AB14" s="48">
        <f t="shared" si="15"/>
        <v>343.76449412588966</v>
      </c>
      <c r="AC14" s="48">
        <f t="shared" si="16"/>
        <v>311.10890848231361</v>
      </c>
      <c r="AE14" s="48">
        <f>(V14*(cAsymp+cDrug)+'Markov Model'!W14*cProg)/((1+cDR)^ncycle)</f>
        <v>631651.94821844622</v>
      </c>
      <c r="AF14" s="44">
        <f t="shared" si="17"/>
        <v>11672.198918714348</v>
      </c>
      <c r="AG14" s="48">
        <f t="shared" si="18"/>
        <v>643324.14713716053</v>
      </c>
    </row>
    <row r="15" spans="1:33" x14ac:dyDescent="0.2">
      <c r="A15">
        <v>13</v>
      </c>
      <c r="B15">
        <f t="shared" si="0"/>
        <v>68</v>
      </c>
      <c r="C15" s="44">
        <f t="shared" si="1"/>
        <v>3.7900000000000003E-2</v>
      </c>
      <c r="D15" s="52"/>
      <c r="E15" s="62">
        <f t="shared" si="2"/>
        <v>291.33436660165336</v>
      </c>
      <c r="F15" s="62">
        <f t="shared" si="19"/>
        <v>350.1194166586389</v>
      </c>
      <c r="G15" s="62">
        <f t="shared" si="3"/>
        <v>248.61831065356944</v>
      </c>
      <c r="H15" s="62">
        <f t="shared" si="20"/>
        <v>250.09578437131682</v>
      </c>
      <c r="I15" s="62">
        <f t="shared" si="4"/>
        <v>460.0473227447772</v>
      </c>
      <c r="J15" s="62">
        <f t="shared" si="21"/>
        <v>399.78479897004433</v>
      </c>
      <c r="L15" s="62">
        <f t="shared" si="5"/>
        <v>539.95267725522285</v>
      </c>
      <c r="M15" s="62">
        <f t="shared" si="6"/>
        <v>463.23138126174774</v>
      </c>
      <c r="N15" s="62">
        <f t="shared" si="7"/>
        <v>253.1508852615336</v>
      </c>
      <c r="O15" s="62">
        <f t="shared" si="8"/>
        <v>217.18094786277888</v>
      </c>
      <c r="P15" s="52"/>
      <c r="Q15" s="48">
        <f>(E15*cAsymp+'Markov Model'!G15*cProg)/((1+cDR)^ncycle)</f>
        <v>417980.35682674183</v>
      </c>
      <c r="R15" s="48">
        <f t="shared" si="9"/>
        <v>18643.49141884561</v>
      </c>
      <c r="S15" s="48">
        <f t="shared" si="10"/>
        <v>436623.84824558743</v>
      </c>
      <c r="V15" s="48">
        <f t="shared" si="22"/>
        <v>480.93966693608189</v>
      </c>
      <c r="W15" s="48">
        <f t="shared" si="11"/>
        <v>161.22325594218211</v>
      </c>
      <c r="X15" s="48">
        <f t="shared" si="12"/>
        <v>357.83707712173606</v>
      </c>
      <c r="Z15" s="48">
        <f t="shared" si="13"/>
        <v>642.162922878264</v>
      </c>
      <c r="AA15" s="48">
        <f t="shared" si="14"/>
        <v>577.81012554591439</v>
      </c>
      <c r="AB15" s="48">
        <f t="shared" si="15"/>
        <v>301.07103688260122</v>
      </c>
      <c r="AC15" s="48">
        <f t="shared" si="16"/>
        <v>270.89993430273569</v>
      </c>
      <c r="AE15" s="48">
        <f>(V15*(cAsymp+cDrug)+'Markov Model'!W15*cProg)/((1+cDR)^ncycle)</f>
        <v>564988.18584191799</v>
      </c>
      <c r="AF15" s="44">
        <f t="shared" si="17"/>
        <v>11600.520702961174</v>
      </c>
      <c r="AG15" s="48">
        <f t="shared" si="18"/>
        <v>576588.70654487913</v>
      </c>
    </row>
    <row r="16" spans="1:33" x14ac:dyDescent="0.2">
      <c r="A16">
        <v>14</v>
      </c>
      <c r="B16">
        <f t="shared" si="0"/>
        <v>69</v>
      </c>
      <c r="C16" s="44">
        <f t="shared" si="1"/>
        <v>3.7900000000000003E-2</v>
      </c>
      <c r="D16" s="52"/>
      <c r="E16" s="62">
        <f t="shared" si="2"/>
        <v>239.50598278321922</v>
      </c>
      <c r="F16" s="62">
        <f t="shared" si="19"/>
        <v>291.33436660165336</v>
      </c>
      <c r="G16" s="62">
        <f t="shared" si="3"/>
        <v>242.68974140599519</v>
      </c>
      <c r="H16" s="62">
        <f t="shared" si="20"/>
        <v>248.61831065356944</v>
      </c>
      <c r="I16" s="62">
        <f t="shared" si="4"/>
        <v>517.80427581078561</v>
      </c>
      <c r="J16" s="62">
        <f t="shared" si="21"/>
        <v>460.0473227447772</v>
      </c>
      <c r="L16" s="62">
        <f t="shared" si="5"/>
        <v>482.19572418921439</v>
      </c>
      <c r="M16" s="62">
        <f t="shared" si="6"/>
        <v>409.54798969855466</v>
      </c>
      <c r="N16" s="62">
        <f t="shared" si="7"/>
        <v>213.27563382864429</v>
      </c>
      <c r="O16" s="62">
        <f t="shared" si="8"/>
        <v>181.14347080342708</v>
      </c>
      <c r="P16" s="52"/>
      <c r="Q16" s="48">
        <f>(E16*cAsymp+'Markov Model'!G16*cProg)/((1+cDR)^ncycle)</f>
        <v>374992.58358663489</v>
      </c>
      <c r="R16" s="48">
        <f t="shared" si="9"/>
        <v>17484.294851758499</v>
      </c>
      <c r="S16" s="48">
        <f t="shared" si="10"/>
        <v>392476.87843839341</v>
      </c>
      <c r="V16" s="48">
        <f t="shared" si="22"/>
        <v>429.04627687367855</v>
      </c>
      <c r="W16" s="48">
        <f t="shared" si="11"/>
        <v>164.59518283617183</v>
      </c>
      <c r="X16" s="48">
        <f t="shared" si="12"/>
        <v>406.35854029014962</v>
      </c>
      <c r="Z16" s="48">
        <f t="shared" si="13"/>
        <v>593.64145970985032</v>
      </c>
      <c r="AA16" s="48">
        <f t="shared" si="14"/>
        <v>531.0403501571235</v>
      </c>
      <c r="AB16" s="48">
        <f t="shared" si="15"/>
        <v>262.56819012542354</v>
      </c>
      <c r="AC16" s="48">
        <f t="shared" si="16"/>
        <v>234.87965899901491</v>
      </c>
      <c r="AE16" s="48">
        <f>(V16*(cAsymp+cDrug)+'Markov Model'!W16*cProg)/((1+cDR)^ncycle)</f>
        <v>503053.19733916636</v>
      </c>
      <c r="AF16" s="44">
        <f t="shared" si="17"/>
        <v>11338.163051801617</v>
      </c>
      <c r="AG16" s="48">
        <f t="shared" si="18"/>
        <v>514391.36039096798</v>
      </c>
    </row>
    <row r="17" spans="1:33" x14ac:dyDescent="0.2">
      <c r="A17">
        <v>15</v>
      </c>
      <c r="B17">
        <f t="shared" si="0"/>
        <v>70</v>
      </c>
      <c r="C17" s="44">
        <f t="shared" si="1"/>
        <v>3.7900000000000003E-2</v>
      </c>
      <c r="D17" s="52"/>
      <c r="E17" s="62">
        <f t="shared" si="2"/>
        <v>194.50280861825229</v>
      </c>
      <c r="F17" s="62">
        <f t="shared" si="19"/>
        <v>239.50598278321922</v>
      </c>
      <c r="G17" s="62">
        <f t="shared" si="3"/>
        <v>233.01423641329154</v>
      </c>
      <c r="H17" s="62">
        <f t="shared" si="20"/>
        <v>242.68974140599519</v>
      </c>
      <c r="I17" s="62">
        <f t="shared" si="4"/>
        <v>572.48295496845617</v>
      </c>
      <c r="J17" s="62">
        <f t="shared" si="21"/>
        <v>517.80427581078561</v>
      </c>
      <c r="L17" s="62">
        <f t="shared" si="5"/>
        <v>427.51704503154383</v>
      </c>
      <c r="M17" s="62">
        <f t="shared" si="6"/>
        <v>359.53834549730834</v>
      </c>
      <c r="N17" s="62">
        <f t="shared" si="7"/>
        <v>178.38792576056588</v>
      </c>
      <c r="O17" s="62">
        <f t="shared" si="8"/>
        <v>150.02278957069007</v>
      </c>
      <c r="P17" s="52"/>
      <c r="Q17" s="48">
        <f>(E17*cAsymp+'Markov Model'!G17*cProg)/((1+cDR)^ncycle)</f>
        <v>332265.7116533771</v>
      </c>
      <c r="R17" s="48">
        <f t="shared" si="9"/>
        <v>16101.286000338767</v>
      </c>
      <c r="S17" s="48">
        <f t="shared" si="10"/>
        <v>348366.99765371589</v>
      </c>
      <c r="V17" s="48">
        <f t="shared" si="22"/>
        <v>380.60695221464027</v>
      </c>
      <c r="W17" s="48">
        <f t="shared" si="11"/>
        <v>165.84621874678103</v>
      </c>
      <c r="X17" s="48">
        <f t="shared" si="12"/>
        <v>453.54682903857872</v>
      </c>
      <c r="Z17" s="48">
        <f t="shared" si="13"/>
        <v>546.45317096142128</v>
      </c>
      <c r="AA17" s="48">
        <f t="shared" si="14"/>
        <v>485.96126866399402</v>
      </c>
      <c r="AB17" s="48">
        <f t="shared" si="15"/>
        <v>228.01581557034606</v>
      </c>
      <c r="AC17" s="48">
        <f t="shared" si="16"/>
        <v>202.77465828420171</v>
      </c>
      <c r="AE17" s="48">
        <f>(V17*(cAsymp+cDrug)+'Markov Model'!W17*cProg)/((1+cDR)^ncycle)</f>
        <v>445826.47216272209</v>
      </c>
      <c r="AF17" s="44">
        <f t="shared" si="17"/>
        <v>10920.091215103108</v>
      </c>
      <c r="AG17" s="48">
        <f t="shared" si="18"/>
        <v>456746.56337782519</v>
      </c>
    </row>
    <row r="18" spans="1:33" x14ac:dyDescent="0.2">
      <c r="A18">
        <v>16</v>
      </c>
      <c r="B18">
        <f t="shared" si="0"/>
        <v>71</v>
      </c>
      <c r="C18" s="44">
        <f t="shared" si="1"/>
        <v>3.7900000000000003E-2</v>
      </c>
      <c r="D18" s="52"/>
      <c r="E18" s="62">
        <f t="shared" si="2"/>
        <v>156.01070279270016</v>
      </c>
      <c r="F18" s="62">
        <f t="shared" si="19"/>
        <v>194.50280861825229</v>
      </c>
      <c r="G18" s="62">
        <f t="shared" si="3"/>
        <v>220.35131077015441</v>
      </c>
      <c r="H18" s="62">
        <f t="shared" si="20"/>
        <v>233.01423641329154</v>
      </c>
      <c r="I18" s="62">
        <f t="shared" si="4"/>
        <v>623.6379864371454</v>
      </c>
      <c r="J18" s="62">
        <f t="shared" si="21"/>
        <v>572.48295496845617</v>
      </c>
      <c r="L18" s="62">
        <f t="shared" si="5"/>
        <v>376.3620135628546</v>
      </c>
      <c r="M18" s="62">
        <f t="shared" si="6"/>
        <v>313.47365073068096</v>
      </c>
      <c r="N18" s="62">
        <f t="shared" si="7"/>
        <v>148.15350796967437</v>
      </c>
      <c r="O18" s="62">
        <f t="shared" si="8"/>
        <v>123.39773765200867</v>
      </c>
      <c r="P18" s="52"/>
      <c r="Q18" s="48">
        <f>(E18*cAsymp+'Markov Model'!G18*cProg)/((1+cDR)^ncycle)</f>
        <v>290927.94047461182</v>
      </c>
      <c r="R18" s="48">
        <f t="shared" si="9"/>
        <v>14584.304926385646</v>
      </c>
      <c r="S18" s="48">
        <f t="shared" si="10"/>
        <v>305512.24540099746</v>
      </c>
      <c r="V18" s="48">
        <f t="shared" si="22"/>
        <v>335.7333925485342</v>
      </c>
      <c r="W18" s="48">
        <f t="shared" si="11"/>
        <v>165.13227042143208</v>
      </c>
      <c r="X18" s="48">
        <f t="shared" si="12"/>
        <v>499.13433703003375</v>
      </c>
      <c r="Z18" s="48">
        <f t="shared" si="13"/>
        <v>500.86566296996625</v>
      </c>
      <c r="AA18" s="48">
        <f t="shared" si="14"/>
        <v>442.79592573718156</v>
      </c>
      <c r="AB18" s="48">
        <f t="shared" si="15"/>
        <v>197.16390686746198</v>
      </c>
      <c r="AC18" s="48">
        <f t="shared" si="16"/>
        <v>174.304970609599</v>
      </c>
      <c r="AE18" s="48">
        <f>(V18*(cAsymp+cDrug)+'Markov Model'!W18*cProg)/((1+cDR)^ncycle)</f>
        <v>393251.41715986736</v>
      </c>
      <c r="AF18" s="44">
        <f t="shared" si="17"/>
        <v>10380.274880720295</v>
      </c>
      <c r="AG18" s="48">
        <f t="shared" si="18"/>
        <v>403631.69204058766</v>
      </c>
    </row>
    <row r="19" spans="1:33" x14ac:dyDescent="0.2">
      <c r="A19">
        <v>17</v>
      </c>
      <c r="B19">
        <f t="shared" si="0"/>
        <v>72</v>
      </c>
      <c r="C19" s="44">
        <f t="shared" si="1"/>
        <v>3.7900000000000003E-2</v>
      </c>
      <c r="D19" s="52"/>
      <c r="E19" s="62">
        <f t="shared" si="2"/>
        <v>123.57607768209789</v>
      </c>
      <c r="F19" s="62">
        <f t="shared" si="19"/>
        <v>156.01070279270016</v>
      </c>
      <c r="G19" s="62">
        <f t="shared" si="3"/>
        <v>205.46911895120144</v>
      </c>
      <c r="H19" s="62">
        <f t="shared" si="20"/>
        <v>220.35131077015441</v>
      </c>
      <c r="I19" s="62">
        <f t="shared" si="4"/>
        <v>670.95480336670073</v>
      </c>
      <c r="J19" s="62">
        <f t="shared" si="21"/>
        <v>623.6379864371454</v>
      </c>
      <c r="L19" s="62">
        <f t="shared" si="5"/>
        <v>329.04519663329933</v>
      </c>
      <c r="M19" s="62">
        <f t="shared" si="6"/>
        <v>271.49911301139412</v>
      </c>
      <c r="N19" s="62">
        <f t="shared" si="7"/>
        <v>122.19567813984646</v>
      </c>
      <c r="O19" s="62">
        <f t="shared" si="8"/>
        <v>100.82511025306579</v>
      </c>
      <c r="P19" s="52"/>
      <c r="Q19" s="48">
        <f>(E19*cAsymp+'Markov Model'!G19*cProg)/((1+cDR)^ncycle)</f>
        <v>251857.63881727782</v>
      </c>
      <c r="R19" s="48">
        <f t="shared" si="9"/>
        <v>13011.071189386477</v>
      </c>
      <c r="S19" s="48">
        <f t="shared" si="10"/>
        <v>264868.71000666427</v>
      </c>
      <c r="V19" s="48">
        <f t="shared" si="22"/>
        <v>294.47175860431946</v>
      </c>
      <c r="W19" s="48">
        <f t="shared" si="11"/>
        <v>162.64125517587041</v>
      </c>
      <c r="X19" s="48">
        <f t="shared" si="12"/>
        <v>542.88698621981018</v>
      </c>
      <c r="Z19" s="48">
        <f t="shared" si="13"/>
        <v>457.11301378018987</v>
      </c>
      <c r="AA19" s="48">
        <f t="shared" si="14"/>
        <v>401.72911205600627</v>
      </c>
      <c r="AB19" s="48">
        <f t="shared" si="15"/>
        <v>169.75550859558282</v>
      </c>
      <c r="AC19" s="48">
        <f t="shared" si="16"/>
        <v>149.18789813215039</v>
      </c>
      <c r="AE19" s="48">
        <f>(V19*(cAsymp+cDrug)+'Markov Model'!W19*cProg)/((1+cDR)^ncycle)</f>
        <v>345232.0256457738</v>
      </c>
      <c r="AF19" s="44">
        <f t="shared" si="17"/>
        <v>9750.5556858674354</v>
      </c>
      <c r="AG19" s="48">
        <f t="shared" si="18"/>
        <v>354982.58133164124</v>
      </c>
    </row>
    <row r="20" spans="1:33" x14ac:dyDescent="0.2">
      <c r="A20">
        <v>18</v>
      </c>
      <c r="B20">
        <f t="shared" si="0"/>
        <v>73</v>
      </c>
      <c r="C20" s="44">
        <f t="shared" si="1"/>
        <v>3.7900000000000003E-2</v>
      </c>
      <c r="D20" s="52"/>
      <c r="E20" s="62">
        <f t="shared" si="2"/>
        <v>96.648850355168747</v>
      </c>
      <c r="F20" s="62">
        <f t="shared" si="19"/>
        <v>123.57607768209789</v>
      </c>
      <c r="G20" s="62">
        <f t="shared" si="3"/>
        <v>189.1051654830483</v>
      </c>
      <c r="H20" s="62">
        <f t="shared" si="20"/>
        <v>205.46911895120144</v>
      </c>
      <c r="I20" s="62">
        <f t="shared" si="4"/>
        <v>714.24598416178299</v>
      </c>
      <c r="J20" s="62">
        <f t="shared" si="21"/>
        <v>670.95480336670073</v>
      </c>
      <c r="L20" s="62">
        <f t="shared" si="5"/>
        <v>285.75401583821701</v>
      </c>
      <c r="M20" s="62">
        <f t="shared" si="6"/>
        <v>233.64528194969654</v>
      </c>
      <c r="N20" s="62">
        <f t="shared" si="7"/>
        <v>100.11214523915565</v>
      </c>
      <c r="O20" s="62">
        <f t="shared" si="8"/>
        <v>81.856173857708541</v>
      </c>
      <c r="P20" s="52"/>
      <c r="Q20" s="48">
        <f>(E20*cAsymp+'Markov Model'!G20*cProg)/((1+cDR)^ncycle)</f>
        <v>215685.62411319459</v>
      </c>
      <c r="R20" s="48">
        <f t="shared" si="9"/>
        <v>11445.587984841275</v>
      </c>
      <c r="S20" s="48">
        <f t="shared" si="10"/>
        <v>227131.21209803587</v>
      </c>
      <c r="V20" s="48">
        <f t="shared" si="22"/>
        <v>256.80882067882692</v>
      </c>
      <c r="W20" s="48">
        <f t="shared" si="11"/>
        <v>158.58342160271309</v>
      </c>
      <c r="X20" s="48">
        <f t="shared" si="12"/>
        <v>584.60775771845999</v>
      </c>
      <c r="Z20" s="48">
        <f t="shared" si="13"/>
        <v>415.39224228154001</v>
      </c>
      <c r="AA20" s="48">
        <f t="shared" si="14"/>
        <v>362.90594584692042</v>
      </c>
      <c r="AB20" s="48">
        <f t="shared" si="15"/>
        <v>145.53009296657569</v>
      </c>
      <c r="AC20" s="48">
        <f t="shared" si="16"/>
        <v>127.14184489133983</v>
      </c>
      <c r="AE20" s="48">
        <f>(V20*(cAsymp+cDrug)+'Markov Model'!W20*cProg)/((1+cDR)^ncycle)</f>
        <v>301633.21515166672</v>
      </c>
      <c r="AF20" s="44">
        <f t="shared" si="17"/>
        <v>9059.8762752399543</v>
      </c>
      <c r="AG20" s="48">
        <f t="shared" si="18"/>
        <v>310693.0914269067</v>
      </c>
    </row>
    <row r="21" spans="1:33" x14ac:dyDescent="0.2">
      <c r="A21">
        <v>19</v>
      </c>
      <c r="B21">
        <f t="shared" si="0"/>
        <v>74</v>
      </c>
      <c r="C21" s="44">
        <f t="shared" si="1"/>
        <v>3.7900000000000003E-2</v>
      </c>
      <c r="D21" s="52"/>
      <c r="E21" s="62">
        <f t="shared" si="2"/>
        <v>74.622577359225716</v>
      </c>
      <c r="F21" s="62">
        <f t="shared" si="19"/>
        <v>96.648850355168747</v>
      </c>
      <c r="G21" s="62">
        <f t="shared" si="3"/>
        <v>171.93558645626558</v>
      </c>
      <c r="H21" s="62">
        <f t="shared" si="20"/>
        <v>189.1051654830483</v>
      </c>
      <c r="I21" s="62">
        <f t="shared" si="4"/>
        <v>753.4418361845087</v>
      </c>
      <c r="J21" s="62">
        <f t="shared" si="21"/>
        <v>714.24598416178299</v>
      </c>
      <c r="L21" s="62">
        <f t="shared" si="5"/>
        <v>246.5581638154913</v>
      </c>
      <c r="M21" s="62">
        <f t="shared" si="6"/>
        <v>199.84313833346363</v>
      </c>
      <c r="N21" s="62">
        <f t="shared" si="7"/>
        <v>81.490680985825108</v>
      </c>
      <c r="O21" s="62">
        <f t="shared" si="8"/>
        <v>66.050757278210995</v>
      </c>
      <c r="P21" s="52"/>
      <c r="Q21" s="48">
        <f>(E21*cAsymp+'Markov Model'!G21*cProg)/((1+cDR)^ncycle)</f>
        <v>182812.7112219483</v>
      </c>
      <c r="R21" s="48">
        <f t="shared" si="9"/>
        <v>9937.7730896170033</v>
      </c>
      <c r="S21" s="48">
        <f t="shared" si="10"/>
        <v>192750.48431156529</v>
      </c>
      <c r="V21" s="48">
        <f t="shared" si="22"/>
        <v>222.67892841061087</v>
      </c>
      <c r="W21" s="48">
        <f t="shared" si="11"/>
        <v>153.18243464805184</v>
      </c>
      <c r="X21" s="48">
        <f t="shared" si="12"/>
        <v>624.13863694133727</v>
      </c>
      <c r="Z21" s="48">
        <f t="shared" si="13"/>
        <v>375.86136305866273</v>
      </c>
      <c r="AA21" s="48">
        <f t="shared" si="14"/>
        <v>326.43180797611922</v>
      </c>
      <c r="AB21" s="48">
        <f t="shared" si="15"/>
        <v>124.22707063486996</v>
      </c>
      <c r="AC21" s="48">
        <f t="shared" si="16"/>
        <v>107.88995957690003</v>
      </c>
      <c r="AE21" s="48">
        <f>(V21*(cAsymp+cDrug)+'Markov Model'!W21*cProg)/((1+cDR)^ncycle)</f>
        <v>262283.78739900311</v>
      </c>
      <c r="AF21" s="44">
        <f t="shared" si="17"/>
        <v>8333.8075701803191</v>
      </c>
      <c r="AG21" s="48">
        <f t="shared" si="18"/>
        <v>270617.59496918344</v>
      </c>
    </row>
    <row r="22" spans="1:33" x14ac:dyDescent="0.2">
      <c r="A22">
        <v>20</v>
      </c>
      <c r="B22">
        <f t="shared" si="0"/>
        <v>75</v>
      </c>
      <c r="C22" s="44">
        <f t="shared" si="1"/>
        <v>3.7900000000000003E-2</v>
      </c>
      <c r="D22" s="52"/>
      <c r="E22" s="62">
        <f t="shared" si="2"/>
        <v>56.869866205465883</v>
      </c>
      <c r="F22" s="62">
        <f t="shared" si="19"/>
        <v>74.622577359225716</v>
      </c>
      <c r="G22" s="62">
        <f t="shared" si="3"/>
        <v>154.55340523297843</v>
      </c>
      <c r="H22" s="62">
        <f t="shared" si="20"/>
        <v>171.93558645626558</v>
      </c>
      <c r="I22" s="62">
        <f t="shared" si="4"/>
        <v>788.57672856155568</v>
      </c>
      <c r="J22" s="62">
        <f t="shared" si="21"/>
        <v>753.4418361845087</v>
      </c>
      <c r="L22" s="62">
        <f t="shared" si="5"/>
        <v>211.42327143844432</v>
      </c>
      <c r="M22" s="62">
        <f t="shared" si="6"/>
        <v>169.94142681992642</v>
      </c>
      <c r="N22" s="62">
        <f t="shared" si="7"/>
        <v>65.922775408226599</v>
      </c>
      <c r="O22" s="62">
        <f t="shared" si="8"/>
        <v>52.988540176218635</v>
      </c>
      <c r="P22" s="52"/>
      <c r="Q22" s="48">
        <f>(E22*cAsymp+'Markov Model'!G22*cProg)/((1+cDR)^ncycle)</f>
        <v>153437.59347407118</v>
      </c>
      <c r="R22" s="48">
        <f t="shared" si="9"/>
        <v>8524.0422437421439</v>
      </c>
      <c r="S22" s="48">
        <f t="shared" si="10"/>
        <v>161961.63571781333</v>
      </c>
      <c r="V22" s="48">
        <f t="shared" si="22"/>
        <v>191.97150418278773</v>
      </c>
      <c r="W22" s="48">
        <f t="shared" si="11"/>
        <v>146.66734801874395</v>
      </c>
      <c r="X22" s="48">
        <f t="shared" si="12"/>
        <v>661.36114779846832</v>
      </c>
      <c r="Z22" s="48">
        <f t="shared" si="13"/>
        <v>338.63885220153168</v>
      </c>
      <c r="AA22" s="48">
        <f t="shared" si="14"/>
        <v>292.37343998770632</v>
      </c>
      <c r="AB22" s="48">
        <f t="shared" si="15"/>
        <v>105.58919482371564</v>
      </c>
      <c r="AC22" s="48">
        <f t="shared" si="16"/>
        <v>91.163420604111721</v>
      </c>
      <c r="AE22" s="48">
        <f>(V22*(cAsymp+cDrug)+'Markov Model'!W22*cProg)/((1+cDR)^ncycle)</f>
        <v>226981.15082370958</v>
      </c>
      <c r="AF22" s="44">
        <f t="shared" si="17"/>
        <v>7594.318144669819</v>
      </c>
      <c r="AG22" s="48">
        <f t="shared" si="18"/>
        <v>234575.4689683794</v>
      </c>
    </row>
    <row r="23" spans="1:33" x14ac:dyDescent="0.2">
      <c r="A23">
        <v>21</v>
      </c>
      <c r="B23">
        <f t="shared" si="0"/>
        <v>76</v>
      </c>
      <c r="C23" s="44">
        <f t="shared" si="1"/>
        <v>9.1200000000000003E-2</v>
      </c>
      <c r="D23" s="52"/>
      <c r="E23" s="62">
        <f t="shared" si="2"/>
        <v>39.740662504379657</v>
      </c>
      <c r="F23" s="62">
        <f t="shared" si="19"/>
        <v>56.869866205465883</v>
      </c>
      <c r="G23" s="62">
        <f t="shared" si="3"/>
        <v>129.21779579393186</v>
      </c>
      <c r="H23" s="62">
        <f t="shared" si="20"/>
        <v>154.55340523297843</v>
      </c>
      <c r="I23" s="62">
        <f t="shared" si="4"/>
        <v>831.04154170168852</v>
      </c>
      <c r="J23" s="62">
        <f t="shared" si="21"/>
        <v>788.57672856155568</v>
      </c>
      <c r="L23" s="62">
        <f t="shared" si="5"/>
        <v>168.95845829831151</v>
      </c>
      <c r="M23" s="62">
        <f t="shared" si="6"/>
        <v>134.66697622460958</v>
      </c>
      <c r="N23" s="62">
        <f t="shared" si="7"/>
        <v>49.700043344149876</v>
      </c>
      <c r="O23" s="62">
        <f t="shared" si="8"/>
        <v>39.613018624801121</v>
      </c>
      <c r="P23" s="52"/>
      <c r="Q23" s="48">
        <f>(E23*cAsymp+'Markov Model'!G23*cProg)/((1+cDR)^ncycle)</f>
        <v>119875.30357384079</v>
      </c>
      <c r="R23" s="48">
        <f t="shared" si="9"/>
        <v>7228.5723461974721</v>
      </c>
      <c r="S23" s="48">
        <f t="shared" si="10"/>
        <v>127103.87592003826</v>
      </c>
      <c r="V23" s="48">
        <f t="shared" si="22"/>
        <v>154.30669506212473</v>
      </c>
      <c r="W23" s="48">
        <f t="shared" si="11"/>
        <v>131.4481916158156</v>
      </c>
      <c r="X23" s="48">
        <f t="shared" si="12"/>
        <v>714.24511332205964</v>
      </c>
      <c r="Z23" s="48">
        <f t="shared" si="13"/>
        <v>285.75488667794036</v>
      </c>
      <c r="AA23" s="48">
        <f t="shared" si="14"/>
        <v>245.17750402088018</v>
      </c>
      <c r="AB23" s="48">
        <f t="shared" si="15"/>
        <v>84.05634377073504</v>
      </c>
      <c r="AC23" s="48">
        <f t="shared" si="16"/>
        <v>72.120287433813544</v>
      </c>
      <c r="AE23" s="48">
        <f>(V23*(cAsymp+cDrug)+'Markov Model'!W23*cProg)/((1+cDR)^ncycle)</f>
        <v>184083.809268988</v>
      </c>
      <c r="AF23" s="44">
        <f t="shared" si="17"/>
        <v>6859.7358588136103</v>
      </c>
      <c r="AG23" s="48">
        <f t="shared" si="18"/>
        <v>190943.5451278016</v>
      </c>
    </row>
    <row r="24" spans="1:33" x14ac:dyDescent="0.2">
      <c r="A24">
        <v>22</v>
      </c>
      <c r="B24">
        <f t="shared" si="0"/>
        <v>77</v>
      </c>
      <c r="C24" s="44">
        <f t="shared" si="1"/>
        <v>9.1200000000000003E-2</v>
      </c>
      <c r="D24" s="52"/>
      <c r="E24" s="62">
        <f t="shared" si="2"/>
        <v>27.373368333016742</v>
      </c>
      <c r="F24" s="62">
        <f t="shared" si="19"/>
        <v>39.740662504379657</v>
      </c>
      <c r="G24" s="62">
        <f t="shared" si="3"/>
        <v>106.79340919939901</v>
      </c>
      <c r="H24" s="62">
        <f t="shared" si="20"/>
        <v>129.21779579393186</v>
      </c>
      <c r="I24" s="62">
        <f t="shared" si="4"/>
        <v>865.83322246758428</v>
      </c>
      <c r="J24" s="62">
        <f t="shared" si="21"/>
        <v>831.04154170168852</v>
      </c>
      <c r="L24" s="62">
        <f t="shared" si="5"/>
        <v>134.16677753241575</v>
      </c>
      <c r="M24" s="62">
        <f t="shared" si="6"/>
        <v>106.09975681591517</v>
      </c>
      <c r="N24" s="62">
        <f t="shared" si="7"/>
        <v>37.231964600997607</v>
      </c>
      <c r="O24" s="62">
        <f t="shared" si="8"/>
        <v>29.443223297139891</v>
      </c>
      <c r="P24" s="52"/>
      <c r="Q24" s="48">
        <f>(E24*cAsymp+'Markov Model'!G24*cProg)/((1+cDR)^ncycle)</f>
        <v>92705.270723096794</v>
      </c>
      <c r="R24" s="48">
        <f t="shared" si="9"/>
        <v>5701.5169141059514</v>
      </c>
      <c r="S24" s="48">
        <f t="shared" si="10"/>
        <v>98406.787637202739</v>
      </c>
      <c r="V24" s="48">
        <f t="shared" si="22"/>
        <v>123.26018801562532</v>
      </c>
      <c r="W24" s="48">
        <f t="shared" si="11"/>
        <v>116.71662425491459</v>
      </c>
      <c r="X24" s="48">
        <f t="shared" si="12"/>
        <v>760.02318772946012</v>
      </c>
      <c r="Z24" s="48">
        <f t="shared" si="13"/>
        <v>239.97681227053991</v>
      </c>
      <c r="AA24" s="48">
        <f t="shared" si="14"/>
        <v>204.63464680602999</v>
      </c>
      <c r="AB24" s="48">
        <f t="shared" si="15"/>
        <v>66.594788544863647</v>
      </c>
      <c r="AC24" s="48">
        <f t="shared" si="16"/>
        <v>56.787157492688223</v>
      </c>
      <c r="AE24" s="48">
        <f>(V24*(cAsymp+cDrug)+'Markov Model'!W24*cProg)/((1+cDR)^ncycle)</f>
        <v>148476.37000428728</v>
      </c>
      <c r="AF24" s="44">
        <f t="shared" si="17"/>
        <v>5799.929361288544</v>
      </c>
      <c r="AG24" s="48">
        <f t="shared" si="18"/>
        <v>154276.29936557583</v>
      </c>
    </row>
    <row r="25" spans="1:33" x14ac:dyDescent="0.2">
      <c r="A25">
        <v>23</v>
      </c>
      <c r="B25">
        <f t="shared" si="0"/>
        <v>78</v>
      </c>
      <c r="C25" s="44">
        <f t="shared" si="1"/>
        <v>9.1200000000000003E-2</v>
      </c>
      <c r="D25" s="52"/>
      <c r="E25" s="62">
        <f t="shared" si="2"/>
        <v>18.581042424451766</v>
      </c>
      <c r="F25" s="62">
        <f t="shared" si="19"/>
        <v>27.373368333016742</v>
      </c>
      <c r="G25" s="62">
        <f t="shared" si="3"/>
        <v>87.330713617097814</v>
      </c>
      <c r="H25" s="62">
        <f t="shared" si="20"/>
        <v>106.79340919939901</v>
      </c>
      <c r="I25" s="62">
        <f t="shared" si="4"/>
        <v>894.08824395845045</v>
      </c>
      <c r="J25" s="62">
        <f t="shared" si="21"/>
        <v>865.83322246758428</v>
      </c>
      <c r="L25" s="62">
        <f t="shared" si="5"/>
        <v>105.91175604154958</v>
      </c>
      <c r="M25" s="62">
        <f t="shared" si="6"/>
        <v>83.150025516052551</v>
      </c>
      <c r="N25" s="62">
        <f t="shared" si="7"/>
        <v>27.727407664179946</v>
      </c>
      <c r="O25" s="62">
        <f t="shared" si="8"/>
        <v>21.768448951654467</v>
      </c>
      <c r="P25" s="52"/>
      <c r="Q25" s="48">
        <f>(E25*cAsymp+'Markov Model'!G25*cProg)/((1+cDR)^ncycle)</f>
        <v>71021.057948546033</v>
      </c>
      <c r="R25" s="48">
        <f t="shared" si="9"/>
        <v>4445.3573053558794</v>
      </c>
      <c r="S25" s="48">
        <f t="shared" si="10"/>
        <v>75466.415253901912</v>
      </c>
      <c r="V25" s="48">
        <f t="shared" si="22"/>
        <v>97.843937246803421</v>
      </c>
      <c r="W25" s="48">
        <f t="shared" si="11"/>
        <v>102.73949610642609</v>
      </c>
      <c r="X25" s="48">
        <f t="shared" si="12"/>
        <v>799.41656664677055</v>
      </c>
      <c r="Z25" s="48">
        <f t="shared" si="13"/>
        <v>200.58343335322951</v>
      </c>
      <c r="AA25" s="48">
        <f t="shared" si="14"/>
        <v>170.0063624642828</v>
      </c>
      <c r="AB25" s="48">
        <f t="shared" si="15"/>
        <v>52.512193500823493</v>
      </c>
      <c r="AC25" s="48">
        <f t="shared" si="16"/>
        <v>44.507200085533974</v>
      </c>
      <c r="AE25" s="48">
        <f>(V25*(cAsymp+cDrug)+'Markov Model'!W25*cProg)/((1+cDR)^ncycle)</f>
        <v>119113.6683030978</v>
      </c>
      <c r="AF25" s="44">
        <f t="shared" si="17"/>
        <v>4858.418718699184</v>
      </c>
      <c r="AG25" s="48">
        <f t="shared" si="18"/>
        <v>123972.08702179699</v>
      </c>
    </row>
    <row r="26" spans="1:33" x14ac:dyDescent="0.2">
      <c r="A26">
        <v>24</v>
      </c>
      <c r="B26">
        <f t="shared" si="0"/>
        <v>79</v>
      </c>
      <c r="C26" s="44">
        <f t="shared" si="1"/>
        <v>9.1200000000000003E-2</v>
      </c>
      <c r="D26" s="52"/>
      <c r="E26" s="62">
        <f t="shared" si="2"/>
        <v>12.427001173473286</v>
      </c>
      <c r="F26" s="62">
        <f t="shared" si="19"/>
        <v>18.581042424451766</v>
      </c>
      <c r="G26" s="62">
        <f t="shared" si="3"/>
        <v>70.725995674522238</v>
      </c>
      <c r="H26" s="62">
        <f t="shared" si="20"/>
        <v>87.330713617097814</v>
      </c>
      <c r="I26" s="62">
        <f t="shared" si="4"/>
        <v>916.8470031520045</v>
      </c>
      <c r="J26" s="62">
        <f t="shared" si="21"/>
        <v>894.08824395845045</v>
      </c>
      <c r="L26" s="62">
        <f t="shared" si="5"/>
        <v>83.152996847995524</v>
      </c>
      <c r="M26" s="62">
        <f t="shared" si="6"/>
        <v>64.850147870691302</v>
      </c>
      <c r="N26" s="62">
        <f t="shared" si="7"/>
        <v>20.537006451150337</v>
      </c>
      <c r="O26" s="62">
        <f t="shared" si="8"/>
        <v>16.016595380356943</v>
      </c>
      <c r="P26" s="52"/>
      <c r="Q26" s="48">
        <f>(E26*cAsymp+'Markov Model'!G26*cProg)/((1+cDR)^ncycle)</f>
        <v>53938.012578523638</v>
      </c>
      <c r="R26" s="48">
        <f t="shared" si="9"/>
        <v>3429.4412469873637</v>
      </c>
      <c r="S26" s="48">
        <f t="shared" si="10"/>
        <v>57367.453825511002</v>
      </c>
      <c r="V26" s="48">
        <f t="shared" si="22"/>
        <v>77.179297700278426</v>
      </c>
      <c r="W26" s="48">
        <f t="shared" si="11"/>
        <v>89.700002115172509</v>
      </c>
      <c r="X26" s="48">
        <f t="shared" si="12"/>
        <v>833.12070018454904</v>
      </c>
      <c r="Z26" s="48">
        <f t="shared" si="13"/>
        <v>166.87929981545093</v>
      </c>
      <c r="AA26" s="48">
        <f t="shared" si="14"/>
        <v>140.59533440164387</v>
      </c>
      <c r="AB26" s="48">
        <f t="shared" si="15"/>
        <v>41.215607215435945</v>
      </c>
      <c r="AC26" s="48">
        <f t="shared" si="16"/>
        <v>34.724031593069427</v>
      </c>
      <c r="AE26" s="48">
        <f>(V26*(cAsymp+cDrug)+'Markov Model'!W26*cProg)/((1+cDR)^ncycle)</f>
        <v>95054.375285114322</v>
      </c>
      <c r="AF26" s="44">
        <f t="shared" si="17"/>
        <v>4034.5378051862554</v>
      </c>
      <c r="AG26" s="48">
        <f t="shared" si="18"/>
        <v>99088.913090300572</v>
      </c>
    </row>
    <row r="27" spans="1:33" x14ac:dyDescent="0.2">
      <c r="A27">
        <v>25</v>
      </c>
      <c r="B27">
        <f t="shared" si="0"/>
        <v>80</v>
      </c>
      <c r="C27" s="44">
        <f t="shared" si="1"/>
        <v>9.1200000000000003E-2</v>
      </c>
      <c r="D27" s="52"/>
      <c r="E27" s="62">
        <f t="shared" si="2"/>
        <v>8.1869083730840657</v>
      </c>
      <c r="F27" s="62">
        <f t="shared" si="19"/>
        <v>12.427001173473286</v>
      </c>
      <c r="G27" s="62">
        <f t="shared" si="3"/>
        <v>56.773635811195788</v>
      </c>
      <c r="H27" s="62">
        <f t="shared" si="20"/>
        <v>70.725995674522238</v>
      </c>
      <c r="I27" s="62">
        <f t="shared" si="4"/>
        <v>935.03945581572009</v>
      </c>
      <c r="J27" s="62">
        <f t="shared" si="21"/>
        <v>916.8470031520045</v>
      </c>
      <c r="L27" s="62">
        <f t="shared" si="5"/>
        <v>64.960544184279854</v>
      </c>
      <c r="M27" s="62">
        <f t="shared" si="6"/>
        <v>50.357789812826702</v>
      </c>
      <c r="N27" s="62">
        <f t="shared" si="7"/>
        <v>15.135717831724984</v>
      </c>
      <c r="O27" s="62">
        <f t="shared" si="8"/>
        <v>11.733296061591629</v>
      </c>
      <c r="P27" s="52"/>
      <c r="Q27" s="48">
        <f>(E27*cAsymp+'Markov Model'!G27*cProg)/((1+cDR)^ncycle)</f>
        <v>40638.307397701305</v>
      </c>
      <c r="R27" s="48">
        <f t="shared" si="9"/>
        <v>2620.170561176908</v>
      </c>
      <c r="S27" s="48">
        <f t="shared" si="10"/>
        <v>43258.477958878211</v>
      </c>
      <c r="V27" s="48">
        <f t="shared" si="22"/>
        <v>60.493133537478229</v>
      </c>
      <c r="W27" s="48">
        <f t="shared" si="11"/>
        <v>77.7117738175277</v>
      </c>
      <c r="X27" s="48">
        <f t="shared" si="12"/>
        <v>861.79509264499404</v>
      </c>
      <c r="Z27" s="48">
        <f t="shared" si="13"/>
        <v>138.20490735500593</v>
      </c>
      <c r="AA27" s="48">
        <f t="shared" si="14"/>
        <v>115.75230722375008</v>
      </c>
      <c r="AB27" s="48">
        <f t="shared" si="15"/>
        <v>32.201554142634102</v>
      </c>
      <c r="AC27" s="48">
        <f t="shared" si="16"/>
        <v>26.970129060799909</v>
      </c>
      <c r="AE27" s="48">
        <f>(V27*(cAsymp+cDrug)+'Markov Model'!W27*cProg)/((1+cDR)^ncycle)</f>
        <v>75462.436524219782</v>
      </c>
      <c r="AF27" s="44">
        <f t="shared" si="17"/>
        <v>3323.0964461960407</v>
      </c>
      <c r="AG27" s="48">
        <f t="shared" si="18"/>
        <v>78785.532970415821</v>
      </c>
    </row>
    <row r="28" spans="1:33" x14ac:dyDescent="0.2">
      <c r="A28">
        <v>26</v>
      </c>
      <c r="B28">
        <f t="shared" si="0"/>
        <v>81</v>
      </c>
      <c r="C28" s="44">
        <f t="shared" si="1"/>
        <v>9.1200000000000003E-2</v>
      </c>
      <c r="D28" s="52"/>
      <c r="E28" s="62">
        <f t="shared" si="2"/>
        <v>5.3116661524569508</v>
      </c>
      <c r="F28" s="62">
        <f t="shared" si="19"/>
        <v>8.1869083730840657</v>
      </c>
      <c r="G28" s="62">
        <f t="shared" si="3"/>
        <v>45.20843103053722</v>
      </c>
      <c r="H28" s="62">
        <f t="shared" si="20"/>
        <v>56.773635811195788</v>
      </c>
      <c r="I28" s="62">
        <f t="shared" si="4"/>
        <v>949.47990281700584</v>
      </c>
      <c r="J28" s="62">
        <f t="shared" si="21"/>
        <v>935.03945581572009</v>
      </c>
      <c r="L28" s="62">
        <f t="shared" si="5"/>
        <v>50.520097182994171</v>
      </c>
      <c r="M28" s="62">
        <f t="shared" si="6"/>
        <v>38.95240611773702</v>
      </c>
      <c r="N28" s="62">
        <f t="shared" si="7"/>
        <v>11.104824015623903</v>
      </c>
      <c r="O28" s="62">
        <f t="shared" si="8"/>
        <v>8.5621295096832792</v>
      </c>
      <c r="P28" s="52"/>
      <c r="Q28" s="48">
        <f>(E28*cAsymp+'Markov Model'!G28*cProg)/((1+cDR)^ncycle)</f>
        <v>30395.578322304813</v>
      </c>
      <c r="R28" s="48">
        <f t="shared" si="9"/>
        <v>1984.2269089103286</v>
      </c>
      <c r="S28" s="48">
        <f t="shared" si="10"/>
        <v>32379.805231215141</v>
      </c>
      <c r="V28" s="48">
        <f t="shared" si="22"/>
        <v>47.112052398988112</v>
      </c>
      <c r="W28" s="48">
        <f t="shared" si="11"/>
        <v>66.831801332612187</v>
      </c>
      <c r="X28" s="48">
        <f t="shared" si="12"/>
        <v>886.05614626839974</v>
      </c>
      <c r="Z28" s="48">
        <f t="shared" si="13"/>
        <v>113.9438537316003</v>
      </c>
      <c r="AA28" s="48">
        <f t="shared" si="14"/>
        <v>94.88030077849784</v>
      </c>
      <c r="AB28" s="48">
        <f t="shared" si="15"/>
        <v>25.046001767734928</v>
      </c>
      <c r="AC28" s="48">
        <f t="shared" si="16"/>
        <v>20.855641644516663</v>
      </c>
      <c r="AE28" s="48">
        <f>(V28*(cAsymp+cDrug)+'Markov Model'!W28*cProg)/((1+cDR)^ncycle)</f>
        <v>59604.452912838766</v>
      </c>
      <c r="AF28" s="44">
        <f t="shared" si="17"/>
        <v>2716.0105310268632</v>
      </c>
      <c r="AG28" s="48">
        <f t="shared" si="18"/>
        <v>62320.463443865629</v>
      </c>
    </row>
    <row r="29" spans="1:33" x14ac:dyDescent="0.2">
      <c r="A29">
        <v>27</v>
      </c>
      <c r="B29">
        <f t="shared" si="0"/>
        <v>82</v>
      </c>
      <c r="C29" s="44">
        <f t="shared" si="1"/>
        <v>9.1200000000000003E-2</v>
      </c>
      <c r="D29" s="52"/>
      <c r="E29" s="62">
        <f t="shared" si="2"/>
        <v>3.39309233818949</v>
      </c>
      <c r="F29" s="62">
        <f t="shared" si="19"/>
        <v>5.3116661524569508</v>
      </c>
      <c r="G29" s="62">
        <f t="shared" si="3"/>
        <v>35.738307327135018</v>
      </c>
      <c r="H29" s="62">
        <f t="shared" si="20"/>
        <v>45.20843103053722</v>
      </c>
      <c r="I29" s="62">
        <f t="shared" si="4"/>
        <v>960.86860033467553</v>
      </c>
      <c r="J29" s="62">
        <f t="shared" si="21"/>
        <v>949.47990281700584</v>
      </c>
      <c r="L29" s="62">
        <f t="shared" si="5"/>
        <v>39.131399665324508</v>
      </c>
      <c r="M29" s="62">
        <f t="shared" si="6"/>
        <v>30.027168216631278</v>
      </c>
      <c r="N29" s="62">
        <f t="shared" si="7"/>
        <v>8.1145981948390826</v>
      </c>
      <c r="O29" s="62">
        <f t="shared" si="8"/>
        <v>6.2266723677333369</v>
      </c>
      <c r="P29" s="52"/>
      <c r="Q29" s="48">
        <f>(E29*cAsymp+'Markov Model'!G29*cProg)/((1+cDR)^ncycle)</f>
        <v>22584.748064466941</v>
      </c>
      <c r="R29" s="48">
        <f t="shared" si="9"/>
        <v>1490.5899788695717</v>
      </c>
      <c r="S29" s="48">
        <f t="shared" si="10"/>
        <v>24075.338043336513</v>
      </c>
      <c r="V29" s="48">
        <f t="shared" si="22"/>
        <v>36.455306146336966</v>
      </c>
      <c r="W29" s="48">
        <f t="shared" si="11"/>
        <v>57.072097925049519</v>
      </c>
      <c r="X29" s="48">
        <f t="shared" si="12"/>
        <v>906.47259592861349</v>
      </c>
      <c r="Z29" s="48">
        <f t="shared" si="13"/>
        <v>93.527404071386485</v>
      </c>
      <c r="AA29" s="48">
        <f t="shared" si="14"/>
        <v>77.436614282807255</v>
      </c>
      <c r="AB29" s="48">
        <f t="shared" si="15"/>
        <v>19.394586207918728</v>
      </c>
      <c r="AC29" s="48">
        <f t="shared" si="16"/>
        <v>16.057872088601336</v>
      </c>
      <c r="AE29" s="48">
        <f>(V29*(cAsymp+cDrug)+'Markov Model'!W29*cProg)/((1+cDR)^ncycle)</f>
        <v>46844.265378789009</v>
      </c>
      <c r="AF29" s="44">
        <f t="shared" si="17"/>
        <v>2203.5450261236379</v>
      </c>
      <c r="AG29" s="48">
        <f t="shared" si="18"/>
        <v>49047.810404912649</v>
      </c>
    </row>
    <row r="30" spans="1:33" x14ac:dyDescent="0.2">
      <c r="A30">
        <v>28</v>
      </c>
      <c r="B30">
        <f t="shared" si="0"/>
        <v>83</v>
      </c>
      <c r="C30" s="44">
        <f t="shared" si="1"/>
        <v>9.1200000000000003E-2</v>
      </c>
      <c r="D30" s="52"/>
      <c r="E30" s="62">
        <f t="shared" si="2"/>
        <v>2.1335764622534725</v>
      </c>
      <c r="F30" s="62">
        <f t="shared" si="19"/>
        <v>3.39309233818949</v>
      </c>
      <c r="G30" s="62">
        <f t="shared" si="3"/>
        <v>28.068293454523108</v>
      </c>
      <c r="H30" s="62">
        <f t="shared" si="20"/>
        <v>35.738307327135018</v>
      </c>
      <c r="I30" s="62">
        <f t="shared" si="4"/>
        <v>969.79813008322344</v>
      </c>
      <c r="J30" s="62">
        <f t="shared" si="21"/>
        <v>960.86860033467553</v>
      </c>
      <c r="L30" s="62">
        <f t="shared" si="5"/>
        <v>30.20186991677658</v>
      </c>
      <c r="M30" s="62">
        <f t="shared" si="6"/>
        <v>23.078117730033128</v>
      </c>
      <c r="N30" s="62">
        <f t="shared" si="7"/>
        <v>5.9083961334404691</v>
      </c>
      <c r="O30" s="62">
        <f t="shared" si="8"/>
        <v>4.5147754738016799</v>
      </c>
      <c r="P30" s="52"/>
      <c r="Q30" s="48">
        <f>(E30*cAsymp+'Markov Model'!G30*cProg)/((1+cDR)^ncycle)</f>
        <v>16681.70872880481</v>
      </c>
      <c r="R30" s="48">
        <f t="shared" si="9"/>
        <v>1111.6469380228436</v>
      </c>
      <c r="S30" s="48">
        <f t="shared" si="10"/>
        <v>17793.355666827654</v>
      </c>
      <c r="V30" s="48">
        <f t="shared" si="22"/>
        <v>28.026839365303886</v>
      </c>
      <c r="W30" s="48">
        <f t="shared" si="11"/>
        <v>48.410050766014741</v>
      </c>
      <c r="X30" s="48">
        <f t="shared" si="12"/>
        <v>923.56310986868141</v>
      </c>
      <c r="Z30" s="48">
        <f t="shared" si="13"/>
        <v>76.43689013131862</v>
      </c>
      <c r="AA30" s="48">
        <f t="shared" si="14"/>
        <v>62.933035471549744</v>
      </c>
      <c r="AB30" s="48">
        <f t="shared" si="15"/>
        <v>14.953359753835331</v>
      </c>
      <c r="AC30" s="48">
        <f t="shared" si="16"/>
        <v>12.31159873446213</v>
      </c>
      <c r="AE30" s="48">
        <f>(V30*(cAsymp+cDrug)+'Markov Model'!W30*cProg)/((1+cDR)^ncycle)</f>
        <v>36635.737368363756</v>
      </c>
      <c r="AF30" s="44">
        <f t="shared" si="17"/>
        <v>1775.2386066910915</v>
      </c>
      <c r="AG30" s="48">
        <f t="shared" si="18"/>
        <v>38410.975975054847</v>
      </c>
    </row>
    <row r="31" spans="1:33" x14ac:dyDescent="0.2">
      <c r="A31">
        <v>29</v>
      </c>
      <c r="B31">
        <f t="shared" si="0"/>
        <v>84</v>
      </c>
      <c r="C31" s="44">
        <f t="shared" si="1"/>
        <v>9.1200000000000003E-2</v>
      </c>
      <c r="D31" s="52"/>
      <c r="E31" s="62">
        <f t="shared" si="2"/>
        <v>1.320257114842434</v>
      </c>
      <c r="F31" s="62">
        <f t="shared" si="19"/>
        <v>2.1335764622534725</v>
      </c>
      <c r="G31" s="62">
        <f t="shared" si="3"/>
        <v>21.91695824734564</v>
      </c>
      <c r="H31" s="62">
        <f t="shared" si="20"/>
        <v>28.068293454523108</v>
      </c>
      <c r="I31" s="62">
        <f t="shared" si="4"/>
        <v>976.76278463781193</v>
      </c>
      <c r="J31" s="62">
        <f t="shared" si="21"/>
        <v>969.79813008322344</v>
      </c>
      <c r="L31" s="62">
        <f t="shared" si="5"/>
        <v>23.237215362188074</v>
      </c>
      <c r="M31" s="62">
        <f t="shared" si="6"/>
        <v>17.691962944609543</v>
      </c>
      <c r="N31" s="62">
        <f t="shared" si="7"/>
        <v>4.2885846852317178</v>
      </c>
      <c r="O31" s="62">
        <f t="shared" si="8"/>
        <v>3.2651709834131819</v>
      </c>
      <c r="P31" s="52"/>
      <c r="Q31" s="48">
        <f>(E31*cAsymp+'Markov Model'!G31*cProg)/((1+cDR)^ncycle)</f>
        <v>12256.598187077736</v>
      </c>
      <c r="R31" s="48">
        <f t="shared" si="9"/>
        <v>823.65063972507448</v>
      </c>
      <c r="S31" s="48">
        <f t="shared" si="10"/>
        <v>13080.24882680281</v>
      </c>
      <c r="V31" s="48">
        <f t="shared" si="22"/>
        <v>21.406899907219099</v>
      </c>
      <c r="W31" s="48">
        <f t="shared" si="11"/>
        <v>40.797438229221044</v>
      </c>
      <c r="X31" s="48">
        <f t="shared" si="12"/>
        <v>937.79566186355987</v>
      </c>
      <c r="Z31" s="48">
        <f t="shared" si="13"/>
        <v>62.204338136440143</v>
      </c>
      <c r="AA31" s="48">
        <f t="shared" si="14"/>
        <v>50.93463358377393</v>
      </c>
      <c r="AB31" s="48">
        <f t="shared" si="15"/>
        <v>11.48022978351365</v>
      </c>
      <c r="AC31" s="48">
        <f t="shared" si="16"/>
        <v>9.4003298644254318</v>
      </c>
      <c r="AE31" s="48">
        <f>(V31*(cAsymp+cDrug)+'Markov Model'!W31*cProg)/((1+cDR)^ncycle)</f>
        <v>28514.507899614506</v>
      </c>
      <c r="AF31" s="44">
        <f t="shared" si="17"/>
        <v>1420.5697737610758</v>
      </c>
      <c r="AG31" s="48">
        <f t="shared" si="18"/>
        <v>29935.077673375581</v>
      </c>
    </row>
    <row r="32" spans="1:33" x14ac:dyDescent="0.2">
      <c r="A32">
        <v>30</v>
      </c>
      <c r="B32">
        <f t="shared" si="0"/>
        <v>85</v>
      </c>
      <c r="C32" s="44">
        <f t="shared" si="1"/>
        <v>9.1200000000000003E-2</v>
      </c>
      <c r="D32" s="52"/>
      <c r="E32" s="62">
        <f t="shared" si="2"/>
        <v>0.8037725315160742</v>
      </c>
      <c r="F32" s="62">
        <f t="shared" si="19"/>
        <v>1.320257114842434</v>
      </c>
      <c r="G32" s="62">
        <f t="shared" si="3"/>
        <v>17.026665052538601</v>
      </c>
      <c r="H32" s="62">
        <f t="shared" si="20"/>
        <v>21.91695824734564</v>
      </c>
      <c r="I32" s="62">
        <f t="shared" si="4"/>
        <v>982.16956241594528</v>
      </c>
      <c r="J32" s="62">
        <f t="shared" si="21"/>
        <v>976.76278463781193</v>
      </c>
      <c r="L32" s="62">
        <f t="shared" si="5"/>
        <v>17.830437584054675</v>
      </c>
      <c r="M32" s="62">
        <f t="shared" si="6"/>
        <v>13.53358269434422</v>
      </c>
      <c r="N32" s="62">
        <f t="shared" si="7"/>
        <v>3.104459821953653</v>
      </c>
      <c r="O32" s="62">
        <f t="shared" si="8"/>
        <v>2.3563338546021666</v>
      </c>
      <c r="P32" s="52"/>
      <c r="Q32" s="48">
        <f>(E32*cAsymp+'Markov Model'!G32*cProg)/((1+cDR)^ncycle)</f>
        <v>8963.5171141493702</v>
      </c>
      <c r="R32" s="48">
        <f t="shared" si="9"/>
        <v>606.73835066771255</v>
      </c>
      <c r="S32" s="48">
        <f t="shared" si="10"/>
        <v>9570.2554648170826</v>
      </c>
      <c r="V32" s="48">
        <f t="shared" si="22"/>
        <v>16.243555649597852</v>
      </c>
      <c r="W32" s="48">
        <f t="shared" si="11"/>
        <v>34.168131114415786</v>
      </c>
      <c r="X32" s="48">
        <f t="shared" si="12"/>
        <v>949.58831323598633</v>
      </c>
      <c r="Z32" s="48">
        <f t="shared" si="13"/>
        <v>50.411686764013638</v>
      </c>
      <c r="AA32" s="48">
        <f t="shared" si="14"/>
        <v>41.057476202929799</v>
      </c>
      <c r="AB32" s="48">
        <f t="shared" si="15"/>
        <v>8.7771853819083034</v>
      </c>
      <c r="AC32" s="48">
        <f t="shared" si="16"/>
        <v>7.1485225565523587</v>
      </c>
      <c r="AE32" s="48">
        <f>(V32*(cAsymp+cDrug)+'Markov Model'!W32*cProg)/((1+cDR)^ncycle)</f>
        <v>22089.304744816429</v>
      </c>
      <c r="AF32" s="44">
        <f t="shared" si="17"/>
        <v>1129.4163224344024</v>
      </c>
      <c r="AG32" s="48">
        <f t="shared" si="18"/>
        <v>23218.72106725083</v>
      </c>
    </row>
    <row r="33" spans="1:33" x14ac:dyDescent="0.2">
      <c r="A33">
        <v>31</v>
      </c>
      <c r="B33">
        <f t="shared" si="0"/>
        <v>86</v>
      </c>
      <c r="C33" s="44">
        <f t="shared" si="1"/>
        <v>0.1958</v>
      </c>
      <c r="D33" s="52"/>
      <c r="E33" s="62">
        <f t="shared" si="2"/>
        <v>0.39722438507533298</v>
      </c>
      <c r="F33" s="62">
        <f t="shared" si="19"/>
        <v>0.8037725315160742</v>
      </c>
      <c r="G33" s="62">
        <f t="shared" si="3"/>
        <v>11.388013762140735</v>
      </c>
      <c r="H33" s="62">
        <f t="shared" si="20"/>
        <v>17.026665052538601</v>
      </c>
      <c r="I33" s="62">
        <f t="shared" si="4"/>
        <v>988.21476185278391</v>
      </c>
      <c r="J33" s="62">
        <f t="shared" si="21"/>
        <v>982.16956241594528</v>
      </c>
      <c r="L33" s="62">
        <f t="shared" si="5"/>
        <v>11.785238147216068</v>
      </c>
      <c r="M33" s="62">
        <f t="shared" si="6"/>
        <v>8.9183734874271181</v>
      </c>
      <c r="N33" s="62">
        <f t="shared" si="7"/>
        <v>1.9357824119101794</v>
      </c>
      <c r="O33" s="62">
        <f t="shared" si="8"/>
        <v>1.4648860145338349</v>
      </c>
      <c r="P33" s="52"/>
      <c r="Q33" s="48">
        <f>(E33*cAsymp+'Markov Model'!G33*cProg)/((1+cDR)^ncycle)</f>
        <v>5644.2321657155326</v>
      </c>
      <c r="R33" s="48">
        <f t="shared" si="9"/>
        <v>444.67723219035253</v>
      </c>
      <c r="S33" s="48">
        <f t="shared" si="10"/>
        <v>6088.9093979058853</v>
      </c>
      <c r="V33" s="48">
        <f t="shared" si="22"/>
        <v>10.545316327718979</v>
      </c>
      <c r="W33" s="48">
        <f t="shared" si="11"/>
        <v>24.870542500738473</v>
      </c>
      <c r="X33" s="48">
        <f t="shared" si="12"/>
        <v>964.58414117154257</v>
      </c>
      <c r="Z33" s="48">
        <f t="shared" si="13"/>
        <v>35.415858828457452</v>
      </c>
      <c r="AA33" s="48">
        <f t="shared" si="14"/>
        <v>28.670957386886883</v>
      </c>
      <c r="AB33" s="48">
        <f t="shared" si="15"/>
        <v>5.8172262423917624</v>
      </c>
      <c r="AC33" s="48">
        <f t="shared" si="16"/>
        <v>4.7093435320415953</v>
      </c>
      <c r="AE33" s="48">
        <f>(V33*(cAsymp+cDrug)+'Markov Model'!W33*cProg)/((1+cDR)^ncycle)</f>
        <v>14853.499850316985</v>
      </c>
      <c r="AF33" s="44">
        <f t="shared" si="17"/>
        <v>892.35266719539732</v>
      </c>
      <c r="AG33" s="48">
        <f t="shared" si="18"/>
        <v>15745.852517512381</v>
      </c>
    </row>
    <row r="34" spans="1:33" x14ac:dyDescent="0.2">
      <c r="A34">
        <v>32</v>
      </c>
      <c r="B34">
        <f t="shared" si="0"/>
        <v>87</v>
      </c>
      <c r="C34" s="44">
        <f t="shared" si="1"/>
        <v>0.1958</v>
      </c>
      <c r="D34" s="52"/>
      <c r="E34" s="62">
        <f t="shared" si="2"/>
        <v>0.1923360472535478</v>
      </c>
      <c r="F34" s="62">
        <f t="shared" si="19"/>
        <v>0.39722438507533298</v>
      </c>
      <c r="G34" s="62">
        <f t="shared" si="3"/>
        <v>7.5771504064165764</v>
      </c>
      <c r="H34" s="62">
        <f t="shared" si="20"/>
        <v>11.388013762140735</v>
      </c>
      <c r="I34" s="62">
        <f t="shared" si="4"/>
        <v>992.23051354632992</v>
      </c>
      <c r="J34" s="62">
        <f t="shared" si="21"/>
        <v>988.21476185278391</v>
      </c>
      <c r="L34" s="62">
        <f t="shared" si="5"/>
        <v>7.7694864536701242</v>
      </c>
      <c r="M34" s="62">
        <f t="shared" si="6"/>
        <v>5.8655820497033027</v>
      </c>
      <c r="N34" s="62">
        <f t="shared" si="7"/>
        <v>1.2039393944080679</v>
      </c>
      <c r="O34" s="62">
        <f t="shared" si="8"/>
        <v>0.90891532444011081</v>
      </c>
      <c r="P34" s="52"/>
      <c r="Q34" s="48">
        <f>(E34*cAsymp+'Markov Model'!G34*cProg)/((1+cDR)^ncycle)</f>
        <v>3537.308450298453</v>
      </c>
      <c r="R34" s="48">
        <f t="shared" si="9"/>
        <v>280.5804575856265</v>
      </c>
      <c r="S34" s="48">
        <f t="shared" si="10"/>
        <v>3817.8889078840793</v>
      </c>
      <c r="V34" s="48">
        <f t="shared" si="22"/>
        <v>6.7932927783165269</v>
      </c>
      <c r="W34" s="48">
        <f t="shared" si="11"/>
        <v>17.957559516418147</v>
      </c>
      <c r="X34" s="48">
        <f t="shared" si="12"/>
        <v>975.24914770526527</v>
      </c>
      <c r="Z34" s="48">
        <f t="shared" si="13"/>
        <v>24.750852294734674</v>
      </c>
      <c r="AA34" s="48">
        <f t="shared" si="14"/>
        <v>19.92179777671431</v>
      </c>
      <c r="AB34" s="48">
        <f t="shared" si="15"/>
        <v>3.8353276372250149</v>
      </c>
      <c r="AC34" s="48">
        <f t="shared" si="16"/>
        <v>3.0870299206825482</v>
      </c>
      <c r="AE34" s="48">
        <f>(V34*(cAsymp+cDrug)+'Markov Model'!W34*cProg)/((1+cDR)^ncycle)</f>
        <v>9926.97646594664</v>
      </c>
      <c r="AF34" s="44">
        <f t="shared" si="17"/>
        <v>612.76604867293418</v>
      </c>
      <c r="AG34" s="48">
        <f t="shared" si="18"/>
        <v>10539.742514619575</v>
      </c>
    </row>
    <row r="35" spans="1:33" x14ac:dyDescent="0.2">
      <c r="A35">
        <v>33</v>
      </c>
      <c r="B35">
        <f t="shared" si="0"/>
        <v>88</v>
      </c>
      <c r="C35" s="44">
        <f t="shared" si="1"/>
        <v>0.1958</v>
      </c>
      <c r="D35" s="52"/>
      <c r="E35" s="62">
        <f t="shared" si="2"/>
        <v>9.1205753607596307E-2</v>
      </c>
      <c r="F35" s="62">
        <f t="shared" si="19"/>
        <v>0.1923360472535478</v>
      </c>
      <c r="G35" s="62">
        <f t="shared" si="3"/>
        <v>5.0204426914713949</v>
      </c>
      <c r="H35" s="62">
        <f t="shared" si="20"/>
        <v>7.5771504064165764</v>
      </c>
      <c r="I35" s="62">
        <f t="shared" si="4"/>
        <v>994.88835155492097</v>
      </c>
      <c r="J35" s="62">
        <f t="shared" si="21"/>
        <v>992.23051354632992</v>
      </c>
      <c r="L35" s="62">
        <f t="shared" si="5"/>
        <v>5.1116484450789912</v>
      </c>
      <c r="M35" s="62">
        <f t="shared" si="6"/>
        <v>3.8519774845307628</v>
      </c>
      <c r="N35" s="62">
        <f t="shared" si="7"/>
        <v>0.74725258094084657</v>
      </c>
      <c r="O35" s="62">
        <f t="shared" si="8"/>
        <v>0.56310604063796521</v>
      </c>
      <c r="P35" s="52"/>
      <c r="Q35" s="48">
        <f>(E35*cAsymp+'Markov Model'!G35*cProg)/((1+cDR)^ncycle)</f>
        <v>2208.4251811684107</v>
      </c>
      <c r="R35" s="48">
        <f t="shared" si="9"/>
        <v>176.12032518566517</v>
      </c>
      <c r="S35" s="48">
        <f t="shared" si="10"/>
        <v>2384.5455063540758</v>
      </c>
      <c r="V35" s="48">
        <f t="shared" si="22"/>
        <v>4.3422727438999118</v>
      </c>
      <c r="W35" s="48">
        <f t="shared" si="11"/>
        <v>12.868728744062979</v>
      </c>
      <c r="X35" s="48">
        <f t="shared" si="12"/>
        <v>982.7889985120371</v>
      </c>
      <c r="Z35" s="48">
        <f t="shared" si="13"/>
        <v>17.211001487962889</v>
      </c>
      <c r="AA35" s="48">
        <f t="shared" si="14"/>
        <v>13.77670566475215</v>
      </c>
      <c r="AB35" s="48">
        <f t="shared" si="15"/>
        <v>2.516011306457965</v>
      </c>
      <c r="AC35" s="48">
        <f t="shared" si="16"/>
        <v>2.0139645704232971</v>
      </c>
      <c r="AE35" s="48">
        <f>(V35*(cAsymp+cDrug)+'Markov Model'!W35*cProg)/((1+cDR)^ncycle)</f>
        <v>6595.8632400252236</v>
      </c>
      <c r="AF35" s="44">
        <f t="shared" si="17"/>
        <v>417.39850101091179</v>
      </c>
      <c r="AG35" s="48">
        <f t="shared" si="18"/>
        <v>7013.2617410361354</v>
      </c>
    </row>
    <row r="36" spans="1:33" x14ac:dyDescent="0.2">
      <c r="A36">
        <v>34</v>
      </c>
      <c r="B36">
        <f t="shared" si="0"/>
        <v>89</v>
      </c>
      <c r="C36" s="44">
        <f t="shared" si="1"/>
        <v>0.1958</v>
      </c>
      <c r="D36" s="52"/>
      <c r="E36" s="62">
        <f t="shared" si="2"/>
        <v>4.2337710824654096E-2</v>
      </c>
      <c r="F36" s="62">
        <f t="shared" si="19"/>
        <v>9.1205753607596307E-2</v>
      </c>
      <c r="G36" s="62">
        <f t="shared" si="3"/>
        <v>3.3153835649871692</v>
      </c>
      <c r="H36" s="62">
        <f t="shared" si="20"/>
        <v>5.0204426914713949</v>
      </c>
      <c r="I36" s="62">
        <f t="shared" si="4"/>
        <v>996.64227872418815</v>
      </c>
      <c r="J36" s="62">
        <f t="shared" si="21"/>
        <v>994.88835155492097</v>
      </c>
      <c r="L36" s="62">
        <f t="shared" si="5"/>
        <v>3.3577212758118233</v>
      </c>
      <c r="M36" s="62">
        <f t="shared" si="6"/>
        <v>2.5267584990237983</v>
      </c>
      <c r="N36" s="62">
        <f t="shared" si="7"/>
        <v>0.46306848316108551</v>
      </c>
      <c r="O36" s="62">
        <f t="shared" si="8"/>
        <v>0.34846913407797259</v>
      </c>
      <c r="P36" s="52"/>
      <c r="Q36" s="48">
        <f>(E36*cAsymp+'Markov Model'!G36*cProg)/((1+cDR)^ncycle)</f>
        <v>1374.6083031437756</v>
      </c>
      <c r="R36" s="48">
        <f t="shared" si="9"/>
        <v>110.08793344187923</v>
      </c>
      <c r="S36" s="48">
        <f t="shared" si="10"/>
        <v>1484.6962365856548</v>
      </c>
      <c r="V36" s="48">
        <f t="shared" si="22"/>
        <v>2.7538693741813631</v>
      </c>
      <c r="W36" s="48">
        <f t="shared" si="11"/>
        <v>9.1569087108289864</v>
      </c>
      <c r="X36" s="48">
        <f t="shared" si="12"/>
        <v>988.08922191498971</v>
      </c>
      <c r="Z36" s="48">
        <f t="shared" si="13"/>
        <v>11.91077808501035</v>
      </c>
      <c r="AA36" s="48">
        <f t="shared" si="14"/>
        <v>9.4838574385940344</v>
      </c>
      <c r="AB36" s="48">
        <f t="shared" si="15"/>
        <v>1.6426336458676167</v>
      </c>
      <c r="AC36" s="48">
        <f t="shared" si="16"/>
        <v>1.3079333029344153</v>
      </c>
      <c r="AE36" s="48">
        <f>(V36*(cAsymp+cDrug)+'Markov Model'!W36*cProg)/((1+cDR)^ncycle)</f>
        <v>4358.2154236000797</v>
      </c>
      <c r="AF36" s="44">
        <f t="shared" si="17"/>
        <v>282.18462803382749</v>
      </c>
      <c r="AG36" s="48">
        <f t="shared" si="18"/>
        <v>4640.4000516339074</v>
      </c>
    </row>
    <row r="37" spans="1:33" x14ac:dyDescent="0.2">
      <c r="A37">
        <v>35</v>
      </c>
      <c r="B37">
        <f t="shared" si="0"/>
        <v>90</v>
      </c>
      <c r="C37" s="44">
        <f t="shared" si="1"/>
        <v>0.1958</v>
      </c>
      <c r="D37" s="52"/>
      <c r="E37" s="62">
        <f t="shared" si="2"/>
        <v>1.9229788256552638E-2</v>
      </c>
      <c r="F37" s="62">
        <f t="shared" si="19"/>
        <v>4.2337710824654096E-2</v>
      </c>
      <c r="G37" s="62">
        <f t="shared" si="3"/>
        <v>2.1837421270032351</v>
      </c>
      <c r="H37" s="62">
        <f t="shared" si="20"/>
        <v>3.3153835649871692</v>
      </c>
      <c r="I37" s="62">
        <f t="shared" si="4"/>
        <v>997.79702808474019</v>
      </c>
      <c r="J37" s="62">
        <f t="shared" si="21"/>
        <v>996.64227872418815</v>
      </c>
      <c r="L37" s="62">
        <f t="shared" si="5"/>
        <v>2.2029719152597877</v>
      </c>
      <c r="M37" s="62">
        <f t="shared" si="6"/>
        <v>1.6560748940961514</v>
      </c>
      <c r="N37" s="62">
        <f t="shared" si="7"/>
        <v>0.28661814194750018</v>
      </c>
      <c r="O37" s="62">
        <f t="shared" si="8"/>
        <v>0.21546398562042821</v>
      </c>
      <c r="P37" s="52"/>
      <c r="Q37" s="48">
        <f>(E37*cAsymp+'Markov Model'!G37*cProg)/((1+cDR)^ncycle)</f>
        <v>853.59968634496261</v>
      </c>
      <c r="R37" s="48">
        <f t="shared" si="9"/>
        <v>68.584443693793986</v>
      </c>
      <c r="S37" s="48">
        <f t="shared" si="10"/>
        <v>922.18413003875662</v>
      </c>
      <c r="V37" s="48">
        <f t="shared" si="22"/>
        <v>1.7327346102348429</v>
      </c>
      <c r="W37" s="48">
        <f t="shared" si="11"/>
        <v>6.4723768191060618</v>
      </c>
      <c r="X37" s="48">
        <f t="shared" si="12"/>
        <v>991.79488857065905</v>
      </c>
      <c r="Z37" s="48">
        <f t="shared" si="13"/>
        <v>8.2051114293409046</v>
      </c>
      <c r="AA37" s="48">
        <f t="shared" si="14"/>
        <v>6.5003804940526475</v>
      </c>
      <c r="AB37" s="48">
        <f t="shared" si="15"/>
        <v>1.0675278137045869</v>
      </c>
      <c r="AC37" s="48">
        <f t="shared" si="16"/>
        <v>0.84573342322316081</v>
      </c>
      <c r="AE37" s="48">
        <f>(V37*(cAsymp+cDrug)+'Markov Model'!W37*cProg)/((1+cDR)^ncycle)</f>
        <v>2864.4267190283563</v>
      </c>
      <c r="AF37" s="44">
        <f t="shared" si="17"/>
        <v>189.42649547986548</v>
      </c>
      <c r="AG37" s="48">
        <f t="shared" si="18"/>
        <v>3053.8532145082218</v>
      </c>
    </row>
    <row r="38" spans="1:33" x14ac:dyDescent="0.2">
      <c r="A38">
        <v>36</v>
      </c>
      <c r="B38">
        <f t="shared" si="0"/>
        <v>91</v>
      </c>
      <c r="C38" s="44">
        <f t="shared" si="1"/>
        <v>0.1958</v>
      </c>
      <c r="D38" s="52"/>
      <c r="E38" s="62">
        <f t="shared" si="2"/>
        <v>8.5418719436347601E-3</v>
      </c>
      <c r="F38" s="62">
        <f t="shared" si="19"/>
        <v>1.9229788256552638E-2</v>
      </c>
      <c r="G38" s="62">
        <f t="shared" si="3"/>
        <v>1.4355268232578755</v>
      </c>
      <c r="H38" s="62">
        <f t="shared" si="20"/>
        <v>2.1837421270032351</v>
      </c>
      <c r="I38" s="62">
        <f t="shared" si="4"/>
        <v>998.55593130479849</v>
      </c>
      <c r="J38" s="62">
        <f t="shared" si="21"/>
        <v>997.79702808474019</v>
      </c>
      <c r="L38" s="62">
        <f t="shared" si="5"/>
        <v>1.4440686952015103</v>
      </c>
      <c r="M38" s="62">
        <f t="shared" si="6"/>
        <v>1.0847598957898597</v>
      </c>
      <c r="N38" s="62">
        <f t="shared" si="7"/>
        <v>0.1772461064452043</v>
      </c>
      <c r="O38" s="62">
        <f t="shared" si="8"/>
        <v>0.1331442670252112</v>
      </c>
      <c r="P38" s="52"/>
      <c r="Q38" s="48">
        <f>(E38*cAsymp+'Markov Model'!G38*cProg)/((1+cDR)^ncycle)</f>
        <v>529.11722944426344</v>
      </c>
      <c r="R38" s="48">
        <f t="shared" si="9"/>
        <v>42.617436922272745</v>
      </c>
      <c r="S38" s="48">
        <f t="shared" si="10"/>
        <v>571.7346663665362</v>
      </c>
      <c r="V38" s="48">
        <f t="shared" si="22"/>
        <v>1.0815729437085793</v>
      </c>
      <c r="W38" s="48">
        <f t="shared" si="11"/>
        <v>4.5461211449014574</v>
      </c>
      <c r="X38" s="48">
        <f t="shared" si="12"/>
        <v>994.37230591138996</v>
      </c>
      <c r="Z38" s="48">
        <f t="shared" si="13"/>
        <v>5.6276940886100366</v>
      </c>
      <c r="AA38" s="48">
        <f t="shared" si="14"/>
        <v>4.4370851551992434</v>
      </c>
      <c r="AB38" s="48">
        <f t="shared" si="15"/>
        <v>0.69074751691894332</v>
      </c>
      <c r="AC38" s="48">
        <f t="shared" si="16"/>
        <v>0.54461125730250404</v>
      </c>
      <c r="AE38" s="48">
        <f>(V38*(cAsymp+cDrug)+'Markov Model'!W38*cProg)/((1+cDR)^ncycle)</f>
        <v>1873.1129036571058</v>
      </c>
      <c r="AF38" s="44">
        <f t="shared" si="17"/>
        <v>126.31349984714758</v>
      </c>
      <c r="AG38" s="48">
        <f t="shared" si="18"/>
        <v>1999.4264035042534</v>
      </c>
    </row>
    <row r="39" spans="1:33" x14ac:dyDescent="0.2">
      <c r="A39">
        <v>37</v>
      </c>
      <c r="B39">
        <f t="shared" si="0"/>
        <v>92</v>
      </c>
      <c r="C39" s="44">
        <f t="shared" si="1"/>
        <v>0.1958</v>
      </c>
      <c r="D39" s="52"/>
      <c r="E39" s="62">
        <f t="shared" si="2"/>
        <v>3.7088807978307159E-3</v>
      </c>
      <c r="F39" s="62">
        <f t="shared" si="19"/>
        <v>8.5418719436347601E-3</v>
      </c>
      <c r="G39" s="62">
        <f t="shared" si="3"/>
        <v>0.94228214039444702</v>
      </c>
      <c r="H39" s="62">
        <f t="shared" si="20"/>
        <v>1.4355268232578755</v>
      </c>
      <c r="I39" s="62">
        <f t="shared" si="4"/>
        <v>999.0540089788077</v>
      </c>
      <c r="J39" s="62">
        <f t="shared" si="21"/>
        <v>998.55593130479849</v>
      </c>
      <c r="L39" s="62">
        <f t="shared" si="5"/>
        <v>0.94599102119227774</v>
      </c>
      <c r="M39" s="62">
        <f t="shared" si="6"/>
        <v>0.71023504205377452</v>
      </c>
      <c r="N39" s="62">
        <f t="shared" si="7"/>
        <v>0.10953930965086972</v>
      </c>
      <c r="O39" s="62">
        <f t="shared" si="8"/>
        <v>8.2240374859344351E-2</v>
      </c>
      <c r="P39" s="52"/>
      <c r="Q39" s="48">
        <f>(E39*cAsymp+'Markov Model'!G39*cProg)/((1+cDR)^ncycle)</f>
        <v>327.54427118770855</v>
      </c>
      <c r="R39" s="48">
        <f t="shared" si="9"/>
        <v>26.429650573299675</v>
      </c>
      <c r="S39" s="48">
        <f t="shared" si="10"/>
        <v>353.97392176100823</v>
      </c>
      <c r="V39" s="48">
        <f t="shared" si="22"/>
        <v>0.66970996674433536</v>
      </c>
      <c r="W39" s="48">
        <f t="shared" si="11"/>
        <v>3.1741634475806206</v>
      </c>
      <c r="X39" s="48">
        <f t="shared" si="12"/>
        <v>996.156126585675</v>
      </c>
      <c r="Z39" s="48">
        <f t="shared" si="13"/>
        <v>3.843873414324956</v>
      </c>
      <c r="AA39" s="48">
        <f t="shared" si="14"/>
        <v>3.016847054092584</v>
      </c>
      <c r="AB39" s="48">
        <f t="shared" si="15"/>
        <v>0.44509433045126701</v>
      </c>
      <c r="AC39" s="48">
        <f t="shared" si="16"/>
        <v>0.34933031733331138</v>
      </c>
      <c r="AE39" s="48">
        <f>(V39*(cAsymp+cDrug)+'Markov Model'!W39*cProg)/((1+cDR)^ncycle)</f>
        <v>1218.9612201423424</v>
      </c>
      <c r="AF39" s="44">
        <f t="shared" si="17"/>
        <v>83.699162827869088</v>
      </c>
      <c r="AG39" s="48">
        <f t="shared" si="18"/>
        <v>1302.6603829702115</v>
      </c>
    </row>
    <row r="40" spans="1:33" x14ac:dyDescent="0.2">
      <c r="A40">
        <v>38</v>
      </c>
      <c r="B40">
        <f t="shared" si="0"/>
        <v>93</v>
      </c>
      <c r="C40" s="44">
        <f t="shared" si="1"/>
        <v>0.1958</v>
      </c>
      <c r="D40" s="52"/>
      <c r="E40" s="62">
        <f t="shared" si="2"/>
        <v>1.5733072344801258E-3</v>
      </c>
      <c r="F40" s="62">
        <f t="shared" si="19"/>
        <v>3.7088807978307159E-3</v>
      </c>
      <c r="G40" s="62">
        <f t="shared" si="3"/>
        <v>0.61785035094922292</v>
      </c>
      <c r="H40" s="62">
        <f t="shared" si="20"/>
        <v>0.94228214039444702</v>
      </c>
      <c r="I40" s="62">
        <f t="shared" si="4"/>
        <v>999.38057634181632</v>
      </c>
      <c r="J40" s="62">
        <f t="shared" si="21"/>
        <v>999.0540089788077</v>
      </c>
      <c r="L40" s="62">
        <f t="shared" si="5"/>
        <v>0.61942365818370304</v>
      </c>
      <c r="M40" s="62">
        <f t="shared" si="6"/>
        <v>0.46488240508467332</v>
      </c>
      <c r="N40" s="62">
        <f t="shared" si="7"/>
        <v>6.7665128150469503E-2</v>
      </c>
      <c r="O40" s="62">
        <f t="shared" si="8"/>
        <v>5.0783219367484769E-2</v>
      </c>
      <c r="P40" s="52"/>
      <c r="Q40" s="48">
        <f>(E40*cAsymp+'Markov Model'!G40*cProg)/((1+cDR)^ncycle)</f>
        <v>202.56571876850043</v>
      </c>
      <c r="R40" s="48">
        <f t="shared" si="9"/>
        <v>16.366476981736422</v>
      </c>
      <c r="S40" s="48">
        <f t="shared" si="10"/>
        <v>218.93219575023684</v>
      </c>
      <c r="V40" s="48">
        <f t="shared" si="22"/>
        <v>0.41133586157445734</v>
      </c>
      <c r="W40" s="48">
        <f t="shared" si="11"/>
        <v>2.2037826210886657</v>
      </c>
      <c r="X40" s="48">
        <f t="shared" si="12"/>
        <v>997.38488151733691</v>
      </c>
      <c r="Z40" s="48">
        <f t="shared" si="13"/>
        <v>2.6151184826631231</v>
      </c>
      <c r="AA40" s="48">
        <f t="shared" si="14"/>
        <v>2.043606034312234</v>
      </c>
      <c r="AB40" s="48">
        <f t="shared" si="15"/>
        <v>0.28567253594563652</v>
      </c>
      <c r="AC40" s="48">
        <f t="shared" si="16"/>
        <v>0.22324117326464787</v>
      </c>
      <c r="AE40" s="48">
        <f>(V40*(cAsymp+cDrug)+'Markov Model'!W40*cProg)/((1+cDR)^ncycle)</f>
        <v>789.61682304625583</v>
      </c>
      <c r="AF40" s="44">
        <f t="shared" si="17"/>
        <v>55.131972446544204</v>
      </c>
      <c r="AG40" s="48">
        <f t="shared" si="18"/>
        <v>844.74879549280001</v>
      </c>
    </row>
    <row r="41" spans="1:33" x14ac:dyDescent="0.2">
      <c r="A41">
        <v>39</v>
      </c>
      <c r="B41">
        <f t="shared" si="0"/>
        <v>94</v>
      </c>
      <c r="C41" s="44">
        <f t="shared" si="1"/>
        <v>0.1958</v>
      </c>
      <c r="D41" s="52"/>
      <c r="E41" s="62">
        <f t="shared" si="2"/>
        <v>6.5166385650172742E-4</v>
      </c>
      <c r="F41" s="62">
        <f t="shared" si="19"/>
        <v>1.5733072344801258E-3</v>
      </c>
      <c r="G41" s="62">
        <f t="shared" si="3"/>
        <v>0.40481128941242889</v>
      </c>
      <c r="H41" s="62">
        <f t="shared" si="20"/>
        <v>0.61785035094922292</v>
      </c>
      <c r="I41" s="62">
        <f t="shared" si="4"/>
        <v>999.59453704673103</v>
      </c>
      <c r="J41" s="62">
        <f t="shared" si="21"/>
        <v>999.38057634181632</v>
      </c>
      <c r="L41" s="62">
        <f t="shared" si="5"/>
        <v>0.40546295326893061</v>
      </c>
      <c r="M41" s="62">
        <f t="shared" si="6"/>
        <v>0.30422754772299831</v>
      </c>
      <c r="N41" s="62">
        <f t="shared" si="7"/>
        <v>4.1785195072650418E-2</v>
      </c>
      <c r="O41" s="62">
        <f t="shared" si="8"/>
        <v>3.1352327815873104E-2</v>
      </c>
      <c r="P41" s="52"/>
      <c r="Q41" s="48">
        <f>(E41*cAsymp+'Markov Model'!G41*cProg)/((1+cDR)^ncycle)</f>
        <v>125.18769132563516</v>
      </c>
      <c r="R41" s="48">
        <f t="shared" si="9"/>
        <v>10.123989281595941</v>
      </c>
      <c r="S41" s="48">
        <f t="shared" si="10"/>
        <v>135.3116806072311</v>
      </c>
      <c r="V41" s="48">
        <f t="shared" si="22"/>
        <v>0.25058580687118592</v>
      </c>
      <c r="W41" s="48">
        <f t="shared" si="11"/>
        <v>1.5219250837232243</v>
      </c>
      <c r="X41" s="48">
        <f t="shared" si="12"/>
        <v>998.22748910940561</v>
      </c>
      <c r="Z41" s="48">
        <f t="shared" si="13"/>
        <v>1.7725108905944102</v>
      </c>
      <c r="AA41" s="48">
        <f t="shared" si="14"/>
        <v>1.3795003293200447</v>
      </c>
      <c r="AB41" s="48">
        <f t="shared" si="15"/>
        <v>0.18266702971198456</v>
      </c>
      <c r="AC41" s="48">
        <f t="shared" si="16"/>
        <v>0.14216512235876458</v>
      </c>
      <c r="AE41" s="48">
        <f>(V41*(cAsymp+cDrug)+'Markov Model'!W41*cProg)/((1+cDR)^ncycle)</f>
        <v>509.26471357513242</v>
      </c>
      <c r="AF41" s="44">
        <f t="shared" si="17"/>
        <v>36.110801912780119</v>
      </c>
      <c r="AG41" s="48">
        <f t="shared" si="18"/>
        <v>545.37551548791248</v>
      </c>
    </row>
    <row r="42" spans="1:33" x14ac:dyDescent="0.2">
      <c r="A42">
        <v>40</v>
      </c>
      <c r="B42">
        <f t="shared" si="0"/>
        <v>95</v>
      </c>
      <c r="C42" s="44">
        <f t="shared" si="1"/>
        <v>0.1958</v>
      </c>
      <c r="D42" s="52"/>
      <c r="E42" s="62">
        <f t="shared" si="2"/>
        <v>2.6340253077705711E-4</v>
      </c>
      <c r="F42" s="62">
        <f t="shared" si="19"/>
        <v>6.5166385650172742E-4</v>
      </c>
      <c r="G42" s="62">
        <f t="shared" si="3"/>
        <v>0.26508821107621167</v>
      </c>
      <c r="H42" s="62">
        <f t="shared" si="20"/>
        <v>0.40481128941242889</v>
      </c>
      <c r="I42" s="62">
        <f t="shared" si="4"/>
        <v>999.73464838639302</v>
      </c>
      <c r="J42" s="62">
        <f t="shared" si="21"/>
        <v>999.59453704673103</v>
      </c>
      <c r="L42" s="62">
        <f t="shared" si="5"/>
        <v>0.26535161360698872</v>
      </c>
      <c r="M42" s="62">
        <f t="shared" si="6"/>
        <v>0.19906639071139698</v>
      </c>
      <c r="N42" s="62">
        <f t="shared" si="7"/>
        <v>2.5798064386853507E-2</v>
      </c>
      <c r="O42" s="62">
        <f t="shared" si="8"/>
        <v>1.9353670004198152E-2</v>
      </c>
      <c r="P42" s="52"/>
      <c r="Q42" s="48">
        <f>(E42*cAsymp+'Markov Model'!G42*cProg)/((1+cDR)^ncycle)</f>
        <v>77.330171734835261</v>
      </c>
      <c r="R42" s="48">
        <f t="shared" si="9"/>
        <v>6.2577056273585967</v>
      </c>
      <c r="S42" s="48">
        <f t="shared" si="10"/>
        <v>83.587877362193865</v>
      </c>
      <c r="V42" s="48">
        <f t="shared" si="22"/>
        <v>0.15140394451157135</v>
      </c>
      <c r="W42" s="48">
        <f t="shared" si="11"/>
        <v>1.0457605511459707</v>
      </c>
      <c r="X42" s="48">
        <f t="shared" si="12"/>
        <v>998.80283550434251</v>
      </c>
      <c r="Z42" s="48">
        <f t="shared" si="13"/>
        <v>1.197164495657542</v>
      </c>
      <c r="AA42" s="48">
        <f t="shared" si="14"/>
        <v>0.92815416064547074</v>
      </c>
      <c r="AB42" s="48">
        <f t="shared" si="15"/>
        <v>0.11639095131477598</v>
      </c>
      <c r="AC42" s="48">
        <f t="shared" si="16"/>
        <v>9.0237178028704415E-2</v>
      </c>
      <c r="AE42" s="48">
        <f>(V42*(cAsymp+cDrug)+'Markov Model'!W42*cProg)/((1+cDR)^ncycle)</f>
        <v>327.09311987465975</v>
      </c>
      <c r="AF42" s="44">
        <f t="shared" si="17"/>
        <v>23.526416900715557</v>
      </c>
      <c r="AG42" s="48">
        <f t="shared" si="18"/>
        <v>350.61953677537531</v>
      </c>
    </row>
    <row r="43" spans="1:33" x14ac:dyDescent="0.2">
      <c r="A43">
        <v>41</v>
      </c>
      <c r="B43">
        <f t="shared" si="0"/>
        <v>96</v>
      </c>
      <c r="C43" s="44">
        <f t="shared" si="1"/>
        <v>0.1958</v>
      </c>
      <c r="D43" s="52"/>
      <c r="E43" s="62">
        <f t="shared" si="2"/>
        <v>1.0383327753515914E-4</v>
      </c>
      <c r="F43" s="62">
        <f t="shared" si="19"/>
        <v>2.6340253077705711E-4</v>
      </c>
      <c r="G43" s="62">
        <f t="shared" si="3"/>
        <v>0.17352870272367626</v>
      </c>
      <c r="H43" s="62">
        <f t="shared" si="20"/>
        <v>0.26508821107621167</v>
      </c>
      <c r="I43" s="62">
        <f t="shared" si="4"/>
        <v>999.82636746399874</v>
      </c>
      <c r="J43" s="62">
        <f t="shared" si="21"/>
        <v>999.73464838639302</v>
      </c>
      <c r="L43" s="62">
        <f t="shared" si="5"/>
        <v>0.17363253600121142</v>
      </c>
      <c r="M43" s="62">
        <f t="shared" si="6"/>
        <v>0.13024516865641561</v>
      </c>
      <c r="N43" s="62">
        <f t="shared" si="7"/>
        <v>1.5925410384352485E-2</v>
      </c>
      <c r="O43" s="62">
        <f t="shared" si="8"/>
        <v>1.1945962486075481E-2</v>
      </c>
      <c r="P43" s="52"/>
      <c r="Q43" s="48">
        <f>(E43*cAsymp+'Markov Model'!G43*cProg)/((1+cDR)^ncycle)</f>
        <v>47.752422430418505</v>
      </c>
      <c r="R43" s="48">
        <f t="shared" si="9"/>
        <v>3.8658683724845102</v>
      </c>
      <c r="S43" s="48">
        <f t="shared" si="10"/>
        <v>51.618290802903019</v>
      </c>
      <c r="V43" s="48">
        <f t="shared" si="22"/>
        <v>9.0721243551229236E-2</v>
      </c>
      <c r="W43" s="48">
        <f t="shared" si="11"/>
        <v>0.71517436118456612</v>
      </c>
      <c r="X43" s="48">
        <f t="shared" si="12"/>
        <v>999.19410439526416</v>
      </c>
      <c r="Z43" s="48">
        <f t="shared" si="13"/>
        <v>0.80589560473579536</v>
      </c>
      <c r="AA43" s="48">
        <f t="shared" si="14"/>
        <v>0.62256595226209244</v>
      </c>
      <c r="AB43" s="48">
        <f t="shared" si="15"/>
        <v>7.3915975242531254E-2</v>
      </c>
      <c r="AC43" s="48">
        <f t="shared" si="16"/>
        <v>5.7101154595990272E-2</v>
      </c>
      <c r="AE43" s="48">
        <f>(V43*(cAsymp+cDrug)+'Markov Model'!W43*cProg)/((1+cDR)^ncycle)</f>
        <v>209.26662699690507</v>
      </c>
      <c r="AF43" s="44">
        <f t="shared" si="17"/>
        <v>15.25066929024957</v>
      </c>
      <c r="AG43" s="48">
        <f t="shared" si="18"/>
        <v>224.51729628715464</v>
      </c>
    </row>
    <row r="44" spans="1:33" x14ac:dyDescent="0.2">
      <c r="A44">
        <v>42</v>
      </c>
      <c r="B44">
        <f t="shared" si="0"/>
        <v>97</v>
      </c>
      <c r="C44" s="44">
        <f t="shared" si="1"/>
        <v>0.1958</v>
      </c>
      <c r="D44" s="52"/>
      <c r="E44" s="62">
        <f t="shared" si="2"/>
        <v>3.9892745235192706E-5</v>
      </c>
      <c r="F44" s="62">
        <f t="shared" si="19"/>
        <v>1.0383327753515914E-4</v>
      </c>
      <c r="G44" s="62">
        <f t="shared" si="3"/>
        <v>0.11356608729839379</v>
      </c>
      <c r="H44" s="62">
        <f t="shared" si="20"/>
        <v>0.17352870272367626</v>
      </c>
      <c r="I44" s="62">
        <f t="shared" si="4"/>
        <v>999.88639401995636</v>
      </c>
      <c r="J44" s="62">
        <f t="shared" si="21"/>
        <v>999.82636746399874</v>
      </c>
      <c r="L44" s="62">
        <f t="shared" si="5"/>
        <v>0.11360598004362898</v>
      </c>
      <c r="M44" s="62">
        <f t="shared" si="6"/>
        <v>8.5212463581768774E-2</v>
      </c>
      <c r="N44" s="62">
        <f t="shared" si="7"/>
        <v>9.8300301856625461E-3</v>
      </c>
      <c r="O44" s="62">
        <f t="shared" si="8"/>
        <v>7.3732130023593098E-3</v>
      </c>
      <c r="P44" s="52"/>
      <c r="Q44" s="48">
        <f>(E44*cAsymp+'Markov Model'!G44*cProg)/((1+cDR)^ncycle)</f>
        <v>29.481461018082637</v>
      </c>
      <c r="R44" s="48">
        <f t="shared" si="9"/>
        <v>2.3873830342945359</v>
      </c>
      <c r="S44" s="48">
        <f t="shared" si="10"/>
        <v>31.868844052377174</v>
      </c>
      <c r="V44" s="48">
        <f t="shared" si="22"/>
        <v>5.3906562918200507E-2</v>
      </c>
      <c r="W44" s="48">
        <f t="shared" si="11"/>
        <v>0.48691852823270126</v>
      </c>
      <c r="X44" s="48">
        <f t="shared" si="12"/>
        <v>999.45917490884915</v>
      </c>
      <c r="Z44" s="48">
        <f t="shared" si="13"/>
        <v>0.54082509115090183</v>
      </c>
      <c r="AA44" s="48">
        <f t="shared" si="14"/>
        <v>0.41640013094681638</v>
      </c>
      <c r="AB44" s="48">
        <f t="shared" si="15"/>
        <v>4.679618950635691E-2</v>
      </c>
      <c r="AC44" s="48">
        <f t="shared" si="16"/>
        <v>3.603002108647E-2</v>
      </c>
      <c r="AE44" s="48">
        <f>(V44*(cAsymp+cDrug)+'Markov Model'!W44*cProg)/((1+cDR)^ncycle)</f>
        <v>133.39197634380329</v>
      </c>
      <c r="AF44" s="44">
        <f t="shared" si="17"/>
        <v>9.8392664133108205</v>
      </c>
      <c r="AG44" s="48">
        <f t="shared" si="18"/>
        <v>143.2312427571141</v>
      </c>
    </row>
    <row r="45" spans="1:33" x14ac:dyDescent="0.2">
      <c r="A45">
        <v>43</v>
      </c>
      <c r="B45">
        <f t="shared" si="0"/>
        <v>98</v>
      </c>
      <c r="C45" s="44">
        <f t="shared" si="1"/>
        <v>0.1958</v>
      </c>
      <c r="D45" s="52"/>
      <c r="E45" s="62">
        <f t="shared" si="2"/>
        <v>1.4927865208846924E-5</v>
      </c>
      <c r="F45" s="62">
        <f t="shared" si="19"/>
        <v>3.9892745235192706E-5</v>
      </c>
      <c r="G45" s="62">
        <f t="shared" si="3"/>
        <v>7.431208819106036E-2</v>
      </c>
      <c r="H45" s="62">
        <f t="shared" si="20"/>
        <v>0.11356608729839379</v>
      </c>
      <c r="I45" s="62">
        <f t="shared" si="4"/>
        <v>999.92567298394374</v>
      </c>
      <c r="J45" s="62">
        <f t="shared" si="21"/>
        <v>999.88639401995636</v>
      </c>
      <c r="L45" s="62">
        <f t="shared" si="5"/>
        <v>7.4327016056269207E-2</v>
      </c>
      <c r="M45" s="62">
        <f t="shared" si="6"/>
        <v>5.5748247615243676E-2</v>
      </c>
      <c r="N45" s="62">
        <f t="shared" si="7"/>
        <v>6.0672863394242499E-3</v>
      </c>
      <c r="O45" s="62">
        <f t="shared" si="8"/>
        <v>4.5507084657716345E-3</v>
      </c>
      <c r="P45" s="52"/>
      <c r="Q45" s="48">
        <f>(E45*cAsymp+'Markov Model'!G45*cProg)/((1+cDR)^ncycle)</f>
        <v>18.198812628229668</v>
      </c>
      <c r="R45" s="48">
        <f t="shared" si="9"/>
        <v>1.4739867555150816</v>
      </c>
      <c r="S45" s="48">
        <f t="shared" si="10"/>
        <v>19.672799383744749</v>
      </c>
      <c r="V45" s="48">
        <f t="shared" si="22"/>
        <v>3.1761746871325158E-2</v>
      </c>
      <c r="W45" s="48">
        <f t="shared" si="11"/>
        <v>0.33013201219724631</v>
      </c>
      <c r="X45" s="48">
        <f t="shared" si="12"/>
        <v>999.63810624093139</v>
      </c>
      <c r="Z45" s="48">
        <f t="shared" si="13"/>
        <v>0.36189375906857146</v>
      </c>
      <c r="AA45" s="48">
        <f t="shared" si="14"/>
        <v>0.27777266867569361</v>
      </c>
      <c r="AB45" s="48">
        <f t="shared" si="15"/>
        <v>2.9541251313753424E-2</v>
      </c>
      <c r="AC45" s="48">
        <f t="shared" si="16"/>
        <v>2.2674478373322281E-2</v>
      </c>
      <c r="AE45" s="48">
        <f>(V45*(cAsymp+cDrug)+'Markov Model'!W45*cProg)/((1+cDR)^ncycle)</f>
        <v>84.734704781206148</v>
      </c>
      <c r="AF45" s="44">
        <f t="shared" si="17"/>
        <v>6.3197692084267922</v>
      </c>
      <c r="AG45" s="48">
        <f t="shared" si="18"/>
        <v>91.054473989632939</v>
      </c>
    </row>
    <row r="46" spans="1:33" x14ac:dyDescent="0.2">
      <c r="A46">
        <v>44</v>
      </c>
      <c r="B46">
        <f t="shared" si="0"/>
        <v>99</v>
      </c>
      <c r="C46" s="44">
        <f t="shared" si="1"/>
        <v>0.1958</v>
      </c>
      <c r="D46" s="52"/>
      <c r="E46" s="62">
        <f t="shared" si="2"/>
        <v>5.4367285429179901E-6</v>
      </c>
      <c r="F46" s="62">
        <f t="shared" si="19"/>
        <v>1.4927865208846924E-5</v>
      </c>
      <c r="G46" s="62">
        <f t="shared" si="3"/>
        <v>4.862153635528358E-2</v>
      </c>
      <c r="H46" s="62">
        <f t="shared" si="20"/>
        <v>7.431208819106036E-2</v>
      </c>
      <c r="I46" s="62">
        <f t="shared" si="4"/>
        <v>999.95137302691614</v>
      </c>
      <c r="J46" s="62">
        <f t="shared" si="21"/>
        <v>999.92567298394374</v>
      </c>
      <c r="L46" s="62">
        <f t="shared" si="5"/>
        <v>4.8626973083826498E-2</v>
      </c>
      <c r="M46" s="62">
        <f t="shared" si="6"/>
        <v>3.6471317158578459E-2</v>
      </c>
      <c r="N46" s="62">
        <f t="shared" si="7"/>
        <v>3.744718402506314E-3</v>
      </c>
      <c r="O46" s="62">
        <f t="shared" si="8"/>
        <v>2.8086225373711018E-3</v>
      </c>
      <c r="P46" s="52"/>
      <c r="Q46" s="48">
        <f>(E46*cAsymp+'Markov Model'!G46*cProg)/((1+cDR)^ncycle)</f>
        <v>11.233108513876866</v>
      </c>
      <c r="R46" s="48">
        <f t="shared" si="9"/>
        <v>0.90991016751105247</v>
      </c>
      <c r="S46" s="48">
        <f t="shared" si="10"/>
        <v>12.143018681387918</v>
      </c>
      <c r="V46" s="48">
        <f t="shared" si="22"/>
        <v>1.855521252230119E-2</v>
      </c>
      <c r="W46" s="48">
        <f t="shared" si="11"/>
        <v>0.22295994669113006</v>
      </c>
      <c r="X46" s="48">
        <f t="shared" si="12"/>
        <v>999.75848484078654</v>
      </c>
      <c r="Z46" s="48">
        <f t="shared" si="13"/>
        <v>0.24151515921343125</v>
      </c>
      <c r="AA46" s="48">
        <f t="shared" si="14"/>
        <v>0.18484741191453369</v>
      </c>
      <c r="AB46" s="48">
        <f t="shared" si="15"/>
        <v>1.8598859929687604E-2</v>
      </c>
      <c r="AC46" s="48">
        <f t="shared" si="16"/>
        <v>1.4234928911959108E-2</v>
      </c>
      <c r="AE46" s="48">
        <f>(V46*(cAsymp+cDrug)+'Markov Model'!W46*cProg)/((1+cDR)^ncycle)</f>
        <v>53.653200053862278</v>
      </c>
      <c r="AF46" s="44">
        <f t="shared" si="17"/>
        <v>4.042282781057601</v>
      </c>
      <c r="AG46" s="48">
        <f t="shared" si="18"/>
        <v>57.695482834919879</v>
      </c>
    </row>
    <row r="47" spans="1:33" x14ac:dyDescent="0.2">
      <c r="A47">
        <v>45</v>
      </c>
      <c r="B47">
        <f t="shared" si="0"/>
        <v>100</v>
      </c>
      <c r="C47" s="44">
        <f t="shared" si="1"/>
        <v>0.1958</v>
      </c>
      <c r="D47" s="52"/>
      <c r="E47" s="62">
        <f t="shared" si="2"/>
        <v>1.9256892755947774E-6</v>
      </c>
      <c r="F47" s="62">
        <f t="shared" si="19"/>
        <v>5.4367285429179901E-6</v>
      </c>
      <c r="G47" s="62">
        <f t="shared" si="3"/>
        <v>3.1810655611470832E-2</v>
      </c>
      <c r="H47" s="62">
        <f t="shared" si="20"/>
        <v>4.862153635528358E-2</v>
      </c>
      <c r="I47" s="62">
        <f t="shared" si="4"/>
        <v>999.96818741869924</v>
      </c>
      <c r="J47" s="62">
        <f t="shared" si="21"/>
        <v>999.95137302691614</v>
      </c>
      <c r="L47" s="62">
        <f t="shared" si="5"/>
        <v>3.1812581300746427E-2</v>
      </c>
      <c r="M47" s="62">
        <f t="shared" si="6"/>
        <v>2.3859821113414937E-2</v>
      </c>
      <c r="N47" s="62">
        <f t="shared" si="7"/>
        <v>2.3111863967359755E-3</v>
      </c>
      <c r="O47" s="62">
        <f t="shared" si="8"/>
        <v>1.7334177778457903E-3</v>
      </c>
      <c r="P47" s="52"/>
      <c r="Q47" s="48">
        <f>(E47*cAsymp+'Markov Model'!G47*cProg)/((1+cDR)^ncycle)</f>
        <v>6.9332094365353125</v>
      </c>
      <c r="R47" s="48">
        <f t="shared" si="9"/>
        <v>0.56164495875742249</v>
      </c>
      <c r="S47" s="48">
        <f t="shared" si="10"/>
        <v>7.4948543952927347</v>
      </c>
      <c r="V47" s="48">
        <f t="shared" si="22"/>
        <v>1.0747179092959414E-2</v>
      </c>
      <c r="W47" s="48">
        <f t="shared" si="11"/>
        <v>0.15003531994285507</v>
      </c>
      <c r="X47" s="48">
        <f t="shared" si="12"/>
        <v>999.8392175009642</v>
      </c>
      <c r="Z47" s="48">
        <f t="shared" si="13"/>
        <v>0.16078249903581449</v>
      </c>
      <c r="AA47" s="48">
        <f t="shared" si="14"/>
        <v>0.12273631009545274</v>
      </c>
      <c r="AB47" s="48">
        <f t="shared" si="15"/>
        <v>1.1680860508985815E-2</v>
      </c>
      <c r="AC47" s="48">
        <f t="shared" si="16"/>
        <v>8.9168020537686767E-3</v>
      </c>
      <c r="AE47" s="48">
        <f>(V47*(cAsymp+cDrug)+'Markov Model'!W47*cProg)/((1+cDR)^ncycle)</f>
        <v>33.87140648673757</v>
      </c>
      <c r="AF47" s="44">
        <f t="shared" si="17"/>
        <v>2.5754910159330877</v>
      </c>
      <c r="AG47" s="48">
        <f t="shared" si="18"/>
        <v>36.446897502670659</v>
      </c>
    </row>
    <row r="48" spans="1:33" x14ac:dyDescent="0.2">
      <c r="C48" s="67"/>
      <c r="E48" s="63">
        <f>SUM(E2:E47)</f>
        <v>10663.391574271616</v>
      </c>
      <c r="F48" s="63"/>
      <c r="G48" s="63">
        <f t="shared" ref="G48:I48" si="23">SUM(G2:G47)</f>
        <v>4029.8535050547957</v>
      </c>
      <c r="H48" s="63"/>
      <c r="I48" s="63">
        <f t="shared" si="23"/>
        <v>31306.754920673597</v>
      </c>
      <c r="J48" s="63"/>
      <c r="V48" s="63">
        <f>SUM(V2:V47)</f>
        <v>13756.337339588528</v>
      </c>
      <c r="W48" s="63">
        <f t="shared" ref="W48" si="24">SUM(W2:W47)</f>
        <v>3103.8918041986012</v>
      </c>
      <c r="X48" s="63">
        <f t="shared" ref="X48" si="25">SUM(X2:X47)</f>
        <v>29139.770856212876</v>
      </c>
    </row>
    <row r="49" spans="1:33" x14ac:dyDescent="0.2">
      <c r="K49" t="s">
        <v>50</v>
      </c>
      <c r="L49" s="6">
        <f>SUM(L2:L47)</f>
        <v>13693.245079326403</v>
      </c>
      <c r="M49" s="6">
        <f>SUM(M3:M47)</f>
        <v>12202.612124349125</v>
      </c>
      <c r="N49" s="6">
        <f>SUM(N2:N47)</f>
        <v>8560.1724481610272</v>
      </c>
      <c r="O49" s="6">
        <f>SUM(O2:O47)</f>
        <v>7755.9516801447353</v>
      </c>
      <c r="Q49">
        <f>SUM(Q2:Q47)</f>
        <v>8982738.0441834945</v>
      </c>
      <c r="R49" s="6">
        <f>SUM(R2:R47)</f>
        <v>282158.76254920464</v>
      </c>
      <c r="S49">
        <f>SUM(S2:S47)</f>
        <v>9264896.806732703</v>
      </c>
      <c r="Y49" t="s">
        <v>50</v>
      </c>
      <c r="Z49" s="6">
        <f>SUM(Z2:Z47)</f>
        <v>15860.229143787126</v>
      </c>
      <c r="AA49" s="6">
        <f>SUM(AA3:AA47)</f>
        <v>14446.439325758052</v>
      </c>
      <c r="AB49" s="6">
        <f>SUM(AB2:AB47)</f>
        <v>9350.4181283309372</v>
      </c>
      <c r="AC49" s="6">
        <f>SUM(AC2:AC47)</f>
        <v>8624.7378423777318</v>
      </c>
      <c r="AE49">
        <f>SUM(AE2:AE47)</f>
        <v>15961822.539021384</v>
      </c>
      <c r="AF49" s="6">
        <f>SUM(AF2:AF47)</f>
        <v>193617.89964092497</v>
      </c>
      <c r="AG49">
        <f>SUM(AG2:AG47)</f>
        <v>16155440.438662307</v>
      </c>
    </row>
    <row r="50" spans="1:33" x14ac:dyDescent="0.2">
      <c r="K50" t="s">
        <v>51</v>
      </c>
      <c r="L50" s="8">
        <f>L49/1000</f>
        <v>13.693245079326404</v>
      </c>
      <c r="M50" s="8">
        <f t="shared" ref="M50:S50" si="26">M49/1000</f>
        <v>12.202612124349125</v>
      </c>
      <c r="N50" s="8">
        <f t="shared" si="26"/>
        <v>8.560172448161028</v>
      </c>
      <c r="O50" s="64">
        <f t="shared" si="26"/>
        <v>7.7559516801447357</v>
      </c>
      <c r="P50" s="61"/>
      <c r="Q50" s="6">
        <f t="shared" si="26"/>
        <v>8982.7380441834939</v>
      </c>
      <c r="R50" s="6">
        <f t="shared" si="26"/>
        <v>282.15876254920465</v>
      </c>
      <c r="S50" s="65">
        <f t="shared" si="26"/>
        <v>9264.8968067327023</v>
      </c>
      <c r="Y50" t="s">
        <v>51</v>
      </c>
      <c r="Z50" s="8">
        <f>Z49/1000</f>
        <v>15.860229143787127</v>
      </c>
      <c r="AA50" s="8">
        <f>AA49/1000</f>
        <v>14.446439325758051</v>
      </c>
      <c r="AB50" s="8">
        <f>AB49/1000</f>
        <v>9.3504181283309364</v>
      </c>
      <c r="AC50" s="64">
        <f>AC49/1000</f>
        <v>8.6247378423777317</v>
      </c>
      <c r="AD50" s="6"/>
      <c r="AE50" s="6">
        <f>AE49/1000</f>
        <v>15961.822539021385</v>
      </c>
      <c r="AF50" s="6">
        <f>AF49/1000</f>
        <v>193.61789964092497</v>
      </c>
      <c r="AG50" s="65">
        <f>AG49/1000</f>
        <v>16155.440438662308</v>
      </c>
    </row>
    <row r="56" spans="1:33" x14ac:dyDescent="0.2">
      <c r="A56" t="s">
        <v>29</v>
      </c>
      <c r="C56" t="s">
        <v>30</v>
      </c>
      <c r="D56" t="s">
        <v>31</v>
      </c>
    </row>
    <row r="57" spans="1:33" x14ac:dyDescent="0.2">
      <c r="A57" t="s">
        <v>52</v>
      </c>
      <c r="C57" s="5">
        <f>S50</f>
        <v>9264.8968067327023</v>
      </c>
      <c r="D57" s="8">
        <f>O50</f>
        <v>7.7559516801447357</v>
      </c>
    </row>
    <row r="58" spans="1:33" x14ac:dyDescent="0.2">
      <c r="A58" t="s">
        <v>53</v>
      </c>
      <c r="C58" s="5">
        <f>AG50</f>
        <v>16155.440438662308</v>
      </c>
      <c r="D58" s="8">
        <f>AC50</f>
        <v>8.6247378423777317</v>
      </c>
    </row>
    <row r="59" spans="1:33" x14ac:dyDescent="0.2">
      <c r="A59" t="s">
        <v>55</v>
      </c>
      <c r="C59" s="5">
        <f>C58-C57</f>
        <v>6890.5436319296059</v>
      </c>
      <c r="D59" s="8">
        <f>D58-D57</f>
        <v>0.86878616223299598</v>
      </c>
    </row>
    <row r="60" spans="1:33" x14ac:dyDescent="0.2">
      <c r="A60" t="s">
        <v>54</v>
      </c>
      <c r="C60" s="5">
        <f>C59/D59</f>
        <v>7931.2308729908855</v>
      </c>
    </row>
    <row r="66" spans="1:13" x14ac:dyDescent="0.2">
      <c r="A66">
        <v>1</v>
      </c>
      <c r="C66">
        <v>500</v>
      </c>
      <c r="D66">
        <v>0.95</v>
      </c>
      <c r="E66" s="6">
        <f t="shared" ref="E66:E86" si="27">C66/(1+oDR)^A66</f>
        <v>471.69811320754712</v>
      </c>
      <c r="F66" s="6"/>
      <c r="G66" s="8">
        <f t="shared" ref="G66:G85" si="28">D66/(1+oDR)^A66</f>
        <v>0.89622641509433953</v>
      </c>
      <c r="H66" s="8"/>
      <c r="I66">
        <v>500</v>
      </c>
      <c r="K66">
        <v>0.95</v>
      </c>
      <c r="L66" s="6">
        <f t="shared" ref="L66:L72" si="29">I66/(1+cDR)^A66</f>
        <v>471.69811320754712</v>
      </c>
      <c r="M66" s="8">
        <f t="shared" ref="M66:M71" si="30">K66/(1+oDR)^A66</f>
        <v>0.89622641509433953</v>
      </c>
    </row>
    <row r="67" spans="1:13" x14ac:dyDescent="0.2">
      <c r="A67">
        <v>2</v>
      </c>
      <c r="C67">
        <v>500</v>
      </c>
      <c r="D67">
        <v>0.95</v>
      </c>
      <c r="E67" s="6">
        <f t="shared" si="27"/>
        <v>444.99822000711993</v>
      </c>
      <c r="F67" s="6"/>
      <c r="G67" s="8">
        <f t="shared" si="28"/>
        <v>0.84549661801352782</v>
      </c>
      <c r="H67" s="8"/>
      <c r="I67">
        <v>500</v>
      </c>
      <c r="K67">
        <v>0.95</v>
      </c>
      <c r="L67" s="6">
        <f t="shared" si="29"/>
        <v>444.99822000711993</v>
      </c>
      <c r="M67" s="8">
        <f t="shared" si="30"/>
        <v>0.84549661801352782</v>
      </c>
    </row>
    <row r="68" spans="1:13" x14ac:dyDescent="0.2">
      <c r="A68">
        <v>3</v>
      </c>
      <c r="C68">
        <v>500</v>
      </c>
      <c r="D68">
        <v>0.95</v>
      </c>
      <c r="E68" s="6">
        <f t="shared" si="27"/>
        <v>419.8096415161508</v>
      </c>
      <c r="F68" s="6"/>
      <c r="G68" s="8">
        <f t="shared" si="28"/>
        <v>0.79763831888068648</v>
      </c>
      <c r="H68" s="8"/>
      <c r="I68">
        <v>500</v>
      </c>
      <c r="K68">
        <v>0.95</v>
      </c>
      <c r="L68" s="6">
        <f t="shared" si="29"/>
        <v>419.8096415161508</v>
      </c>
      <c r="M68" s="8">
        <f t="shared" si="30"/>
        <v>0.79763831888068648</v>
      </c>
    </row>
    <row r="69" spans="1:13" x14ac:dyDescent="0.2">
      <c r="A69">
        <v>4</v>
      </c>
      <c r="C69">
        <v>500</v>
      </c>
      <c r="D69">
        <v>0.95</v>
      </c>
      <c r="E69" s="6">
        <f t="shared" si="27"/>
        <v>396.04683161901022</v>
      </c>
      <c r="F69" s="6"/>
      <c r="G69" s="8">
        <f t="shared" si="28"/>
        <v>0.75248898007611931</v>
      </c>
      <c r="H69" s="8"/>
      <c r="I69">
        <v>500</v>
      </c>
      <c r="K69">
        <v>0.95</v>
      </c>
      <c r="L69" s="6">
        <f t="shared" si="29"/>
        <v>396.04683161901022</v>
      </c>
      <c r="M69" s="8">
        <f t="shared" si="30"/>
        <v>0.75248898007611931</v>
      </c>
    </row>
    <row r="70" spans="1:13" x14ac:dyDescent="0.2">
      <c r="A70">
        <v>5</v>
      </c>
      <c r="C70">
        <v>500</v>
      </c>
      <c r="D70">
        <v>0.95</v>
      </c>
      <c r="E70" s="6">
        <f t="shared" si="27"/>
        <v>373.62908643302842</v>
      </c>
      <c r="F70" s="6"/>
      <c r="G70" s="8">
        <f t="shared" si="28"/>
        <v>0.70989526422275406</v>
      </c>
      <c r="H70" s="8"/>
      <c r="I70">
        <v>500</v>
      </c>
      <c r="K70">
        <v>0.95</v>
      </c>
      <c r="L70" s="6">
        <f t="shared" si="29"/>
        <v>373.62908643302842</v>
      </c>
      <c r="M70" s="8">
        <f t="shared" si="30"/>
        <v>0.70989526422275406</v>
      </c>
    </row>
    <row r="71" spans="1:13" x14ac:dyDescent="0.2">
      <c r="A71">
        <v>6</v>
      </c>
      <c r="C71">
        <v>500</v>
      </c>
      <c r="D71">
        <v>0.95</v>
      </c>
      <c r="E71" s="6">
        <f t="shared" si="27"/>
        <v>352.48027021983813</v>
      </c>
      <c r="F71" s="6"/>
      <c r="G71" s="8">
        <f t="shared" si="28"/>
        <v>0.66971251341769245</v>
      </c>
      <c r="H71" s="8"/>
      <c r="I71">
        <v>3000</v>
      </c>
      <c r="K71">
        <v>0.75</v>
      </c>
      <c r="L71" s="6">
        <f t="shared" si="29"/>
        <v>2114.8816213190289</v>
      </c>
      <c r="M71" s="8">
        <f t="shared" si="30"/>
        <v>0.52872040532975717</v>
      </c>
    </row>
    <row r="72" spans="1:13" x14ac:dyDescent="0.2">
      <c r="A72">
        <v>7</v>
      </c>
      <c r="C72">
        <v>500</v>
      </c>
      <c r="D72">
        <v>0.95</v>
      </c>
      <c r="E72" s="6">
        <f t="shared" si="27"/>
        <v>332.52855681116802</v>
      </c>
      <c r="F72" s="6"/>
      <c r="G72" s="8">
        <f t="shared" si="28"/>
        <v>0.63180425794121919</v>
      </c>
      <c r="H72" s="8"/>
      <c r="I72">
        <v>1000</v>
      </c>
      <c r="L72" s="6">
        <f t="shared" si="29"/>
        <v>665.05711362233603</v>
      </c>
    </row>
    <row r="73" spans="1:13" x14ac:dyDescent="0.2">
      <c r="A73">
        <v>8</v>
      </c>
      <c r="C73">
        <v>500</v>
      </c>
      <c r="D73">
        <v>0.95</v>
      </c>
      <c r="E73" s="6">
        <f t="shared" si="27"/>
        <v>313.70618567091327</v>
      </c>
      <c r="F73" s="6"/>
      <c r="G73" s="8">
        <f t="shared" si="28"/>
        <v>0.59604175277473515</v>
      </c>
      <c r="H73" s="8"/>
      <c r="L73" s="6">
        <f>SUM(L66:L72)</f>
        <v>4886.1206277242209</v>
      </c>
      <c r="M73" s="8">
        <f>SUM(M66:M72)</f>
        <v>4.5304660016171843</v>
      </c>
    </row>
    <row r="74" spans="1:13" x14ac:dyDescent="0.2">
      <c r="A74">
        <v>9</v>
      </c>
      <c r="C74">
        <v>500</v>
      </c>
      <c r="D74">
        <v>0.95</v>
      </c>
      <c r="E74" s="6">
        <f t="shared" si="27"/>
        <v>295.94923176501248</v>
      </c>
      <c r="F74" s="6"/>
      <c r="G74" s="8">
        <f t="shared" si="28"/>
        <v>0.5623035403535237</v>
      </c>
      <c r="H74" s="8"/>
    </row>
    <row r="75" spans="1:13" x14ac:dyDescent="0.2">
      <c r="A75">
        <v>10</v>
      </c>
      <c r="C75">
        <v>500</v>
      </c>
      <c r="D75">
        <v>0.95</v>
      </c>
      <c r="E75" s="6">
        <f t="shared" si="27"/>
        <v>279.19738845755893</v>
      </c>
      <c r="F75" s="6"/>
      <c r="G75" s="8">
        <f t="shared" si="28"/>
        <v>0.53047503806936191</v>
      </c>
      <c r="H75" s="8"/>
    </row>
    <row r="76" spans="1:13" x14ac:dyDescent="0.2">
      <c r="A76">
        <v>11</v>
      </c>
      <c r="C76">
        <v>500</v>
      </c>
      <c r="D76">
        <v>0.95</v>
      </c>
      <c r="E76" s="6">
        <f t="shared" si="27"/>
        <v>263.39376269581027</v>
      </c>
      <c r="F76" s="6"/>
      <c r="G76" s="8">
        <f t="shared" si="28"/>
        <v>0.5004481491220395</v>
      </c>
      <c r="H76" s="8"/>
    </row>
    <row r="77" spans="1:13" x14ac:dyDescent="0.2">
      <c r="A77">
        <v>12</v>
      </c>
      <c r="C77">
        <v>500</v>
      </c>
      <c r="D77">
        <v>0.95</v>
      </c>
      <c r="E77" s="6">
        <f t="shared" si="27"/>
        <v>248.48468178850024</v>
      </c>
      <c r="F77" s="6"/>
      <c r="G77" s="8">
        <f t="shared" si="28"/>
        <v>0.47212089539815044</v>
      </c>
      <c r="H77" s="8"/>
    </row>
    <row r="78" spans="1:13" x14ac:dyDescent="0.2">
      <c r="A78">
        <v>13</v>
      </c>
      <c r="C78">
        <v>500</v>
      </c>
      <c r="D78">
        <v>0.95</v>
      </c>
      <c r="E78" s="6">
        <f t="shared" si="27"/>
        <v>234.41951112122663</v>
      </c>
      <c r="F78" s="6"/>
      <c r="G78" s="8">
        <f t="shared" si="28"/>
        <v>0.44539707113033056</v>
      </c>
      <c r="H78" s="8"/>
    </row>
    <row r="79" spans="1:13" x14ac:dyDescent="0.2">
      <c r="A79">
        <v>14</v>
      </c>
      <c r="C79">
        <v>500</v>
      </c>
      <c r="D79">
        <v>0.95</v>
      </c>
      <c r="E79" s="6">
        <f t="shared" si="27"/>
        <v>221.15048218983645</v>
      </c>
      <c r="F79" s="6"/>
      <c r="G79" s="8">
        <f t="shared" si="28"/>
        <v>0.42018591616068923</v>
      </c>
      <c r="H79" s="8"/>
    </row>
    <row r="80" spans="1:13" x14ac:dyDescent="0.2">
      <c r="A80">
        <v>15</v>
      </c>
      <c r="C80">
        <v>500</v>
      </c>
      <c r="D80">
        <v>0.75</v>
      </c>
      <c r="E80" s="6">
        <f t="shared" si="27"/>
        <v>208.63253036777019</v>
      </c>
      <c r="F80" s="6"/>
      <c r="G80" s="8">
        <f t="shared" si="28"/>
        <v>0.31294879555165528</v>
      </c>
      <c r="H80" s="8"/>
    </row>
    <row r="81" spans="1:8" x14ac:dyDescent="0.2">
      <c r="A81">
        <v>16</v>
      </c>
      <c r="C81">
        <v>3000</v>
      </c>
      <c r="D81">
        <v>0.75</v>
      </c>
      <c r="E81" s="6">
        <f t="shared" si="27"/>
        <v>1180.938851138322</v>
      </c>
      <c r="F81" s="6"/>
      <c r="G81" s="8">
        <f t="shared" si="28"/>
        <v>0.29523471278458052</v>
      </c>
      <c r="H81" s="8"/>
    </row>
    <row r="82" spans="1:8" x14ac:dyDescent="0.2">
      <c r="A82">
        <v>17</v>
      </c>
      <c r="C82">
        <v>3000</v>
      </c>
      <c r="D82">
        <v>0.75</v>
      </c>
      <c r="E82" s="6">
        <f t="shared" si="27"/>
        <v>1114.0932557908698</v>
      </c>
      <c r="F82" s="6"/>
      <c r="G82" s="8">
        <f t="shared" si="28"/>
        <v>0.27852331394771745</v>
      </c>
      <c r="H82" s="8"/>
    </row>
    <row r="83" spans="1:8" x14ac:dyDescent="0.2">
      <c r="A83">
        <v>18</v>
      </c>
      <c r="C83">
        <v>3000</v>
      </c>
      <c r="D83">
        <v>0.75</v>
      </c>
      <c r="E83" s="6">
        <f t="shared" si="27"/>
        <v>1051.031373387613</v>
      </c>
      <c r="F83" s="6"/>
      <c r="G83" s="8">
        <f t="shared" si="28"/>
        <v>0.26275784334690322</v>
      </c>
      <c r="H83" s="8"/>
    </row>
    <row r="84" spans="1:8" x14ac:dyDescent="0.2">
      <c r="A84">
        <v>19</v>
      </c>
      <c r="C84">
        <v>3000</v>
      </c>
      <c r="D84">
        <v>0.75</v>
      </c>
      <c r="E84" s="6">
        <f t="shared" si="27"/>
        <v>991.53903149774794</v>
      </c>
      <c r="F84" s="6"/>
      <c r="G84" s="8">
        <f t="shared" si="28"/>
        <v>0.24788475787443701</v>
      </c>
      <c r="H84" s="8"/>
    </row>
    <row r="85" spans="1:8" x14ac:dyDescent="0.2">
      <c r="A85">
        <v>20</v>
      </c>
      <c r="C85">
        <v>3000</v>
      </c>
      <c r="D85">
        <v>0.75</v>
      </c>
      <c r="E85" s="6">
        <f t="shared" si="27"/>
        <v>935.4141806582528</v>
      </c>
      <c r="F85" s="6"/>
      <c r="G85" s="8">
        <f t="shared" si="28"/>
        <v>0.23385354516456322</v>
      </c>
      <c r="H85" s="8"/>
    </row>
    <row r="86" spans="1:8" x14ac:dyDescent="0.2">
      <c r="A86">
        <v>21</v>
      </c>
      <c r="C86">
        <v>1000</v>
      </c>
      <c r="E86" s="6">
        <f t="shared" si="27"/>
        <v>294.15540272272096</v>
      </c>
      <c r="F86" s="6"/>
      <c r="G86" s="6"/>
      <c r="H86" s="6"/>
    </row>
    <row r="87" spans="1:8" x14ac:dyDescent="0.2">
      <c r="E87" s="53">
        <f>SUM(E66:E86)</f>
        <v>10423.296589066018</v>
      </c>
      <c r="F87" s="53"/>
      <c r="G87" s="54">
        <f>SUM(G66:G86)</f>
        <v>10.461437699325028</v>
      </c>
      <c r="H87" s="69"/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18F03-5247-444D-83E0-0DAD0421B361}">
  <sheetPr codeName="Sheet8"/>
  <dimension ref="A1:AE87"/>
  <sheetViews>
    <sheetView showFormulas="1" tabSelected="1" zoomScale="130" zoomScaleNormal="130" workbookViewId="0">
      <selection activeCell="I40" sqref="I40"/>
    </sheetView>
  </sheetViews>
  <sheetFormatPr defaultRowHeight="12.75" x14ac:dyDescent="0.2"/>
  <cols>
    <col min="1" max="1" width="4.140625" bestFit="1" customWidth="1"/>
    <col min="2" max="2" width="2.28515625" bestFit="1" customWidth="1"/>
    <col min="3" max="3" width="6" bestFit="1" customWidth="1"/>
    <col min="4" max="4" width="13.28515625" bestFit="1" customWidth="1"/>
    <col min="5" max="5" width="5.5703125" bestFit="1" customWidth="1"/>
    <col min="6" max="6" width="29" bestFit="1" customWidth="1"/>
    <col min="7" max="7" width="4.7109375" bestFit="1" customWidth="1"/>
    <col min="8" max="8" width="32.7109375" bestFit="1" customWidth="1"/>
    <col min="9" max="9" width="6" customWidth="1"/>
    <col min="10" max="10" width="8.85546875" bestFit="1" customWidth="1"/>
    <col min="11" max="11" width="12" bestFit="1" customWidth="1"/>
    <col min="12" max="12" width="14.7109375" bestFit="1" customWidth="1"/>
    <col min="13" max="13" width="21.5703125" bestFit="1" customWidth="1"/>
    <col min="14" max="14" width="4.7109375" style="50" customWidth="1"/>
    <col min="15" max="15" width="29.7109375" bestFit="1" customWidth="1"/>
    <col min="16" max="16" width="20.7109375" bestFit="1" customWidth="1"/>
    <col min="17" max="17" width="7.28515625" bestFit="1" customWidth="1"/>
    <col min="18" max="18" width="4.42578125" customWidth="1"/>
    <col min="19" max="19" width="4.7109375" customWidth="1"/>
    <col min="20" max="20" width="7.42578125" bestFit="1" customWidth="1"/>
    <col min="21" max="21" width="26" bestFit="1" customWidth="1"/>
    <col min="22" max="22" width="18" bestFit="1" customWidth="1"/>
    <col min="23" max="23" width="5" bestFit="1" customWidth="1"/>
    <col min="24" max="24" width="6.85546875" bestFit="1" customWidth="1"/>
    <col min="25" max="25" width="12" bestFit="1" customWidth="1"/>
    <col min="26" max="26" width="14.5703125" bestFit="1" customWidth="1"/>
    <col min="27" max="27" width="21.5703125" bestFit="1" customWidth="1"/>
    <col min="28" max="28" width="6.7109375" customWidth="1"/>
    <col min="29" max="29" width="33.5703125" bestFit="1" customWidth="1"/>
    <col min="30" max="30" width="20.7109375" bestFit="1" customWidth="1"/>
    <col min="31" max="31" width="8.28515625" bestFit="1" customWidth="1"/>
  </cols>
  <sheetData>
    <row r="1" spans="1:31" x14ac:dyDescent="0.2">
      <c r="A1" s="1" t="s">
        <v>33</v>
      </c>
      <c r="B1" s="1" t="s">
        <v>135</v>
      </c>
      <c r="C1" s="1" t="s">
        <v>133</v>
      </c>
      <c r="D1" s="1" t="s">
        <v>36</v>
      </c>
      <c r="E1" s="1" t="s">
        <v>140</v>
      </c>
      <c r="F1" s="1" t="s">
        <v>34</v>
      </c>
      <c r="G1" s="1" t="s">
        <v>141</v>
      </c>
      <c r="H1" s="1" t="s">
        <v>35</v>
      </c>
      <c r="I1" s="1" t="s">
        <v>142</v>
      </c>
      <c r="J1" s="1" t="s">
        <v>43</v>
      </c>
      <c r="K1" s="1" t="s">
        <v>46</v>
      </c>
      <c r="L1" s="1" t="s">
        <v>45</v>
      </c>
      <c r="M1" s="1" t="s">
        <v>44</v>
      </c>
      <c r="N1" s="1"/>
      <c r="O1" s="1" t="s">
        <v>47</v>
      </c>
      <c r="P1" s="1" t="s">
        <v>48</v>
      </c>
      <c r="Q1" s="1" t="s">
        <v>49</v>
      </c>
      <c r="R1" s="1"/>
      <c r="S1" s="1"/>
      <c r="T1" s="1" t="s">
        <v>36</v>
      </c>
      <c r="U1" s="1" t="s">
        <v>34</v>
      </c>
      <c r="V1" s="1" t="s">
        <v>35</v>
      </c>
      <c r="W1" s="1"/>
      <c r="X1" s="1" t="s">
        <v>43</v>
      </c>
      <c r="Y1" s="1" t="s">
        <v>46</v>
      </c>
      <c r="Z1" s="1" t="s">
        <v>45</v>
      </c>
      <c r="AA1" s="1" t="s">
        <v>44</v>
      </c>
      <c r="AB1" s="1"/>
      <c r="AC1" s="1" t="s">
        <v>47</v>
      </c>
      <c r="AD1" s="1" t="s">
        <v>48</v>
      </c>
      <c r="AE1" s="1" t="s">
        <v>49</v>
      </c>
    </row>
    <row r="2" spans="1:31" x14ac:dyDescent="0.2">
      <c r="A2">
        <v>0</v>
      </c>
      <c r="B2">
        <v>55</v>
      </c>
      <c r="C2" s="44">
        <v>0</v>
      </c>
      <c r="D2" s="62">
        <f>n_cohort</f>
        <v>1000</v>
      </c>
      <c r="E2" s="62"/>
      <c r="F2" s="62">
        <v>0</v>
      </c>
      <c r="G2" s="62"/>
      <c r="H2" s="62">
        <v>0</v>
      </c>
      <c r="I2" s="62"/>
      <c r="J2" s="6"/>
      <c r="K2" s="6"/>
      <c r="N2"/>
      <c r="T2" s="48">
        <v>1000</v>
      </c>
      <c r="U2" s="48">
        <v>0</v>
      </c>
      <c r="V2" s="48">
        <v>0</v>
      </c>
      <c r="X2" s="6"/>
      <c r="Y2" s="6"/>
    </row>
    <row r="3" spans="1:31" x14ac:dyDescent="0.2">
      <c r="A3">
        <v>1</v>
      </c>
      <c r="B3">
        <v>56</v>
      </c>
      <c r="C3" s="44">
        <v>1.38E-2</v>
      </c>
      <c r="D3" s="62">
        <f t="shared" ref="D3:D47" si="0">n_cohort - Prog - Death</f>
        <v>976.2</v>
      </c>
      <c r="E3" s="62">
        <f>D2</f>
        <v>1000</v>
      </c>
      <c r="F3" s="62">
        <f t="shared" ref="F3:F47" si="1">Prog_lag*(1-tpDcm-rDeath)+Asymp_lag*tpProg*ncycle</f>
        <v>10</v>
      </c>
      <c r="G3" s="62">
        <f>F2</f>
        <v>0</v>
      </c>
      <c r="H3" s="62">
        <f t="shared" ref="H3:H47" si="2">Death_lag+Prog_lag*tpDcm+(Asymp_lag + Prog_lag)*rDeath</f>
        <v>13.799999999999999</v>
      </c>
      <c r="I3" s="62">
        <f>H2</f>
        <v>0</v>
      </c>
      <c r="J3" s="62">
        <f>D3+F3</f>
        <v>986.2</v>
      </c>
      <c r="K3" s="62">
        <f>D3*uAsymp+F3*uProg</f>
        <v>934.89</v>
      </c>
      <c r="L3" s="62">
        <f>(D3+F3)/((1+oDR)^ncycle)</f>
        <v>930.37735849056605</v>
      </c>
      <c r="M3" s="62">
        <f>(D3*uAsymp+F3*uProg)/((1+oDR)^ncycle)</f>
        <v>881.97169811320748</v>
      </c>
      <c r="N3" s="52"/>
      <c r="O3" s="48">
        <f>(D3*cAsymp+'Markov Model (2)'!F3*cProg)/((1+cDR)^ncycle)</f>
        <v>488773.58490566036</v>
      </c>
      <c r="P3" s="48">
        <f>(F2*tpDcm*cDeath)/((1+cDR)^(ncycle-1))</f>
        <v>0</v>
      </c>
      <c r="Q3" s="48">
        <f t="shared" ref="Q3:Q47" si="3">O3+P3</f>
        <v>488773.58490566036</v>
      </c>
      <c r="T3" s="48">
        <f>$D$2-U3-V3</f>
        <v>981.2</v>
      </c>
      <c r="U3" s="48">
        <f t="shared" ref="U3:U47" si="4">U2*(1-tpDcm-rDeath)+T2*tpProg*(1-effect)*ncycle</f>
        <v>5</v>
      </c>
      <c r="V3" s="48">
        <f t="shared" ref="V3:V47" si="5">V2+U2*tpDcm+(T2+U2)*rDeath</f>
        <v>13.799999999999999</v>
      </c>
      <c r="X3" s="48">
        <f t="shared" ref="X3:X47" si="6">T3+U3</f>
        <v>986.2</v>
      </c>
      <c r="Y3" s="48">
        <f t="shared" ref="Y3:Y47" si="7">T3*uAsymp+U3*uProg</f>
        <v>935.89</v>
      </c>
      <c r="Z3" s="48">
        <f t="shared" ref="Z3:Z47" si="8">(T3+U3)/((1+oDR)^ncycle)</f>
        <v>930.37735849056605</v>
      </c>
      <c r="AA3" s="48">
        <f t="shared" ref="AA3:AA47" si="9">(T3*uAsymp+U3*uProg)/((1+oDR)^ncycle)</f>
        <v>882.91509433962256</v>
      </c>
      <c r="AC3" s="48">
        <f>(T3*(cAsymp+cDrug)+'Markov Model (2)'!U3*cProg)/((1+cDR)^ncycle)</f>
        <v>1402641.5094339622</v>
      </c>
      <c r="AD3" s="44">
        <f t="shared" ref="AD3:AD47" si="10">(U2*tpDcm*cDeath)/((1+cDR)^(ncycle-1))</f>
        <v>0</v>
      </c>
      <c r="AE3" s="48">
        <f t="shared" ref="AE3:AE47" si="11">AC3+AD3</f>
        <v>1402641.5094339622</v>
      </c>
    </row>
    <row r="4" spans="1:31" x14ac:dyDescent="0.2">
      <c r="A4">
        <v>2</v>
      </c>
      <c r="B4">
        <v>57</v>
      </c>
      <c r="C4" s="44">
        <v>1.38E-2</v>
      </c>
      <c r="D4" s="62">
        <f t="shared" si="0"/>
        <v>943.20443999999998</v>
      </c>
      <c r="E4" s="62">
        <f t="shared" ref="E4:E47" si="12">D3</f>
        <v>976.2</v>
      </c>
      <c r="F4" s="62">
        <f t="shared" si="1"/>
        <v>27.886000000000003</v>
      </c>
      <c r="G4" s="62">
        <f t="shared" ref="G4:G47" si="13">F3</f>
        <v>10</v>
      </c>
      <c r="H4" s="62">
        <f t="shared" si="2"/>
        <v>28.909559999999999</v>
      </c>
      <c r="I4" s="62">
        <f t="shared" ref="I4:I47" si="14">H3</f>
        <v>13.799999999999999</v>
      </c>
      <c r="J4" s="62">
        <f>D4+F4</f>
        <v>971.09043999999994</v>
      </c>
      <c r="K4" s="62">
        <f>D4*uAsymp+F4*uProg</f>
        <v>916.95871799999986</v>
      </c>
      <c r="L4" s="62">
        <f>(D4+F4)/((1+oDR)^ncycle)</f>
        <v>864.26703453186167</v>
      </c>
      <c r="M4" s="62">
        <f>(D4*uAsymp+F4*uProg)/((1+oDR)^ncycle)</f>
        <v>816.08999466002115</v>
      </c>
      <c r="N4" s="52"/>
      <c r="O4" s="48">
        <f>(D4*cAsymp+'Markov Model (2)'!F4*cProg)/((1+cDR)^ncycle)</f>
        <v>494179.61908152356</v>
      </c>
      <c r="P4" s="48">
        <f>(F3*tpDcm*cDeath)/((1+cDR)^(ncycle-1))</f>
        <v>1415.0943396226414</v>
      </c>
      <c r="Q4" s="48">
        <f t="shared" si="3"/>
        <v>495594.71342114621</v>
      </c>
      <c r="T4" s="48">
        <f t="shared" ref="T4:T47" si="15">$D$2-U4-V4</f>
        <v>957.84744000000001</v>
      </c>
      <c r="U4" s="48">
        <f t="shared" si="4"/>
        <v>13.993000000000002</v>
      </c>
      <c r="V4" s="48">
        <f t="shared" si="5"/>
        <v>28.159559999999999</v>
      </c>
      <c r="X4" s="48">
        <f t="shared" si="6"/>
        <v>971.84044000000006</v>
      </c>
      <c r="Y4" s="48">
        <f t="shared" si="7"/>
        <v>920.44981799999994</v>
      </c>
      <c r="Z4" s="48">
        <f t="shared" si="8"/>
        <v>864.93453186187253</v>
      </c>
      <c r="AA4" s="48">
        <f t="shared" si="9"/>
        <v>819.1970612317549</v>
      </c>
      <c r="AC4" s="48">
        <f>(T4*(cAsymp+cDrug)+'Markov Model (2)'!U4*cProg)/((1+cDR)^ncycle)</f>
        <v>1316082.3780704874</v>
      </c>
      <c r="AD4" s="44">
        <f t="shared" si="10"/>
        <v>707.54716981132071</v>
      </c>
      <c r="AE4" s="48">
        <f t="shared" si="11"/>
        <v>1316789.9252402987</v>
      </c>
    </row>
    <row r="5" spans="1:31" x14ac:dyDescent="0.2">
      <c r="A5">
        <v>3</v>
      </c>
      <c r="B5">
        <v>58</v>
      </c>
      <c r="C5" s="44">
        <v>1.38E-2</v>
      </c>
      <c r="D5" s="62">
        <f t="shared" si="0"/>
        <v>901.89208552800005</v>
      </c>
      <c r="E5" s="62">
        <f t="shared" si="12"/>
        <v>943.20443999999998</v>
      </c>
      <c r="F5" s="62">
        <f t="shared" si="1"/>
        <v>51.6144064</v>
      </c>
      <c r="G5" s="62">
        <f t="shared" si="13"/>
        <v>27.886000000000003</v>
      </c>
      <c r="H5" s="62">
        <f t="shared" si="2"/>
        <v>46.493508071999997</v>
      </c>
      <c r="I5" s="62">
        <f t="shared" si="14"/>
        <v>28.909559999999999</v>
      </c>
      <c r="J5" s="62">
        <f>D5+F5</f>
        <v>953.50649192800006</v>
      </c>
      <c r="K5" s="62">
        <f>D5*uAsymp+F5*uProg</f>
        <v>895.50828605160007</v>
      </c>
      <c r="L5" s="62">
        <f>(D5+F5)/((1+oDR)^ncycle)</f>
        <v>800.58243711923251</v>
      </c>
      <c r="M5" s="62">
        <f>(D5*uAsymp+F5*uProg)/((1+oDR)^ncycle)</f>
        <v>751.88602508412976</v>
      </c>
      <c r="N5" s="52"/>
      <c r="O5" s="48">
        <f>(D5*cAsymp+'Markov Model (2)'!F5*cProg)/((1+cDR)^ncycle)</f>
        <v>508632.34579888091</v>
      </c>
      <c r="P5" s="48">
        <f>(F4*tpDcm*cDeath)/((1+cDR)^(ncycle-1))</f>
        <v>3722.7661089355634</v>
      </c>
      <c r="Q5" s="48">
        <f t="shared" si="3"/>
        <v>512355.11190781649</v>
      </c>
      <c r="T5" s="48">
        <f t="shared" si="15"/>
        <v>930.26143372800004</v>
      </c>
      <c r="U5" s="48">
        <f t="shared" si="4"/>
        <v>26.068658200000002</v>
      </c>
      <c r="V5" s="48">
        <f t="shared" si="5"/>
        <v>43.669908071999998</v>
      </c>
      <c r="X5" s="48">
        <f t="shared" si="6"/>
        <v>956.330091928</v>
      </c>
      <c r="Y5" s="48">
        <f t="shared" si="7"/>
        <v>903.29985569159999</v>
      </c>
      <c r="Z5" s="48">
        <f t="shared" si="8"/>
        <v>802.95318612680251</v>
      </c>
      <c r="AA5" s="48">
        <f t="shared" si="9"/>
        <v>758.42797719896271</v>
      </c>
      <c r="AC5" s="48">
        <f>(T5*(cAsymp+cDrug)+'Markov Model (2)'!U5*cProg)/((1+cDR)^ncycle)</f>
        <v>1237261.4013514509</v>
      </c>
      <c r="AD5" s="44">
        <f t="shared" si="10"/>
        <v>1868.0580277678889</v>
      </c>
      <c r="AE5" s="48">
        <f t="shared" si="11"/>
        <v>1239129.4593792188</v>
      </c>
    </row>
    <row r="6" spans="1:31" x14ac:dyDescent="0.2">
      <c r="A6">
        <v>4</v>
      </c>
      <c r="B6">
        <v>59</v>
      </c>
      <c r="C6" s="44">
        <v>1.38E-2</v>
      </c>
      <c r="D6" s="62">
        <f t="shared" si="0"/>
        <v>853.37029132659359</v>
      </c>
      <c r="E6" s="62">
        <f t="shared" si="12"/>
        <v>901.89208552800005</v>
      </c>
      <c r="F6" s="62">
        <f t="shared" si="1"/>
        <v>79.235650052799997</v>
      </c>
      <c r="G6" s="62">
        <f t="shared" si="13"/>
        <v>51.6144064</v>
      </c>
      <c r="H6" s="62">
        <f t="shared" si="2"/>
        <v>67.394058620606401</v>
      </c>
      <c r="I6" s="62">
        <f t="shared" si="14"/>
        <v>46.493508071999997</v>
      </c>
      <c r="J6" s="62">
        <f>D6+F6</f>
        <v>932.60594137939358</v>
      </c>
      <c r="K6" s="62">
        <f>D6*uAsymp+F6*uProg</f>
        <v>870.12851429986392</v>
      </c>
      <c r="L6" s="62">
        <f>(D6+F6)/((1+oDR)^ncycle)</f>
        <v>738.71125646474638</v>
      </c>
      <c r="M6" s="62">
        <f>(D6*uAsymp+F6*uProg)/((1+oDR)^ncycle)</f>
        <v>689.22328237963541</v>
      </c>
      <c r="N6" s="52"/>
      <c r="O6" s="48">
        <f>(D6*cAsymp+'Markov Model (2)'!F6*cProg)/((1+cDR)^ncycle)</f>
        <v>526260.76900579373</v>
      </c>
      <c r="P6" s="48">
        <f>(F5*tpDcm*cDeath)/((1+cDR)^(ncycle-1))</f>
        <v>6500.4676343558758</v>
      </c>
      <c r="Q6" s="48">
        <f t="shared" si="3"/>
        <v>532761.23664014961</v>
      </c>
      <c r="T6" s="48">
        <f t="shared" si="15"/>
        <v>898.8185972679936</v>
      </c>
      <c r="U6" s="48">
        <f t="shared" si="4"/>
        <v>40.403840661400004</v>
      </c>
      <c r="V6" s="48">
        <f t="shared" si="5"/>
        <v>60.7775620706064</v>
      </c>
      <c r="X6" s="48">
        <f t="shared" si="6"/>
        <v>939.22243792939355</v>
      </c>
      <c r="Y6" s="48">
        <f t="shared" si="7"/>
        <v>884.18054790064389</v>
      </c>
      <c r="Z6" s="48">
        <f t="shared" si="8"/>
        <v>743.9521414548376</v>
      </c>
      <c r="AA6" s="48">
        <f t="shared" si="9"/>
        <v>700.35380915042094</v>
      </c>
      <c r="AC6" s="48">
        <f>(T6*(cAsymp+cDrug)+'Markov Model (2)'!U6*cProg)/((1+cDR)^ncycle)</f>
        <v>1163933.6514198168</v>
      </c>
      <c r="AD6" s="44">
        <f t="shared" si="10"/>
        <v>3283.1622161247196</v>
      </c>
      <c r="AE6" s="48">
        <f t="shared" si="11"/>
        <v>1167216.8136359416</v>
      </c>
    </row>
    <row r="7" spans="1:31" x14ac:dyDescent="0.2">
      <c r="A7">
        <v>5</v>
      </c>
      <c r="B7">
        <v>60</v>
      </c>
      <c r="C7" s="44">
        <v>1.38E-2</v>
      </c>
      <c r="D7" s="62">
        <f t="shared" si="0"/>
        <v>798.9252667399569</v>
      </c>
      <c r="E7" s="62">
        <f t="shared" si="12"/>
        <v>853.37029132659359</v>
      </c>
      <c r="F7" s="62">
        <f t="shared" si="1"/>
        <v>108.92536514048103</v>
      </c>
      <c r="G7" s="62">
        <f t="shared" si="13"/>
        <v>79.235650052799997</v>
      </c>
      <c r="H7" s="62">
        <f t="shared" si="2"/>
        <v>92.149368119562041</v>
      </c>
      <c r="I7" s="62">
        <f t="shared" si="14"/>
        <v>67.394058620606401</v>
      </c>
      <c r="J7" s="62">
        <f>D7+F7</f>
        <v>907.85063188043796</v>
      </c>
      <c r="K7" s="62">
        <f>D7*uAsymp+F7*uProg</f>
        <v>840.67302725831985</v>
      </c>
      <c r="L7" s="62">
        <f>(D7+F7)/((1+oDR)^ncycle)</f>
        <v>678.39880441427124</v>
      </c>
      <c r="M7" s="62">
        <f>(D7*uAsymp+F7*uProg)/((1+oDR)^ncycle)</f>
        <v>628.19979032682897</v>
      </c>
      <c r="N7" s="52"/>
      <c r="O7" s="48">
        <f>(D7*cAsymp+'Markov Model (2)'!F7*cProg)/((1+cDR)^ncycle)</f>
        <v>542687.82554124552</v>
      </c>
      <c r="P7" s="48">
        <f>(F6*tpDcm*cDeath)/((1+cDR)^(ncycle-1))</f>
        <v>9414.3084464052281</v>
      </c>
      <c r="Q7" s="48">
        <f t="shared" si="3"/>
        <v>552102.13398765074</v>
      </c>
      <c r="T7" s="48">
        <f t="shared" si="15"/>
        <v>863.94443569399539</v>
      </c>
      <c r="U7" s="48">
        <f t="shared" si="4"/>
        <v>56.256156492762528</v>
      </c>
      <c r="V7" s="48">
        <f t="shared" si="5"/>
        <v>79.799407813242027</v>
      </c>
      <c r="X7" s="48">
        <f t="shared" si="6"/>
        <v>920.20059218675794</v>
      </c>
      <c r="Y7" s="48">
        <f t="shared" si="7"/>
        <v>862.93933127886748</v>
      </c>
      <c r="Z7" s="48">
        <f t="shared" si="8"/>
        <v>687.62741318774033</v>
      </c>
      <c r="AA7" s="48">
        <f t="shared" si="9"/>
        <v>644.83846798570346</v>
      </c>
      <c r="AC7" s="48">
        <f>(T7*(cAsymp+cDrug)+'Markov Model (2)'!U7*cProg)/((1+cDR)^ncycle)</f>
        <v>1094497.9288514834</v>
      </c>
      <c r="AD7" s="44">
        <f t="shared" si="10"/>
        <v>4800.5439237560413</v>
      </c>
      <c r="AE7" s="48">
        <f t="shared" si="11"/>
        <v>1099298.4727752395</v>
      </c>
    </row>
    <row r="8" spans="1:31" x14ac:dyDescent="0.2">
      <c r="A8">
        <v>6</v>
      </c>
      <c r="B8">
        <v>61</v>
      </c>
      <c r="C8" s="44">
        <v>1.38E-2</v>
      </c>
      <c r="D8" s="62">
        <f t="shared" si="0"/>
        <v>739.96458205454815</v>
      </c>
      <c r="E8" s="62">
        <f t="shared" si="12"/>
        <v>798.9252667399569</v>
      </c>
      <c r="F8" s="62">
        <f t="shared" si="1"/>
        <v>139.01890633486767</v>
      </c>
      <c r="G8" s="62">
        <f t="shared" si="13"/>
        <v>108.92536514048103</v>
      </c>
      <c r="H8" s="62">
        <f t="shared" si="2"/>
        <v>121.01651161058423</v>
      </c>
      <c r="I8" s="62">
        <f t="shared" si="14"/>
        <v>92.149368119562041</v>
      </c>
      <c r="J8" s="62">
        <f>D8+F8</f>
        <v>878.98348838941581</v>
      </c>
      <c r="K8" s="62">
        <f>D8*uAsymp+F8*uProg</f>
        <v>807.23053270297146</v>
      </c>
      <c r="L8" s="62">
        <f>(D8+F8)/((1+oDR)^ncycle)</f>
        <v>619.64867501255446</v>
      </c>
      <c r="M8" s="62">
        <f>(D8*uAsymp+F8*uProg)/((1+oDR)^ncycle)</f>
        <v>569.06567259369456</v>
      </c>
      <c r="N8" s="52"/>
      <c r="O8" s="48">
        <f>(D8*cAsymp+'Markov Model (2)'!F8*cProg)/((1+cDR)^ncycle)</f>
        <v>554831.44585917983</v>
      </c>
      <c r="P8" s="48">
        <f>(F7*tpDcm*cDeath)/((1+cDR)^(ncycle-1))</f>
        <v>12209.305400046591</v>
      </c>
      <c r="Q8" s="48">
        <f t="shared" si="3"/>
        <v>567040.75125922647</v>
      </c>
      <c r="T8" s="48">
        <f t="shared" si="15"/>
        <v>826.1036694105984</v>
      </c>
      <c r="U8" s="48">
        <f t="shared" si="4"/>
        <v>72.959731130067894</v>
      </c>
      <c r="V8" s="48">
        <f t="shared" si="5"/>
        <v>100.93659945933368</v>
      </c>
      <c r="X8" s="48">
        <f t="shared" si="6"/>
        <v>899.06340054066629</v>
      </c>
      <c r="Y8" s="48">
        <f t="shared" si="7"/>
        <v>839.51828428761928</v>
      </c>
      <c r="Z8" s="48">
        <f t="shared" si="8"/>
        <v>633.80422073468128</v>
      </c>
      <c r="AA8" s="48">
        <f t="shared" si="9"/>
        <v>591.82726340038994</v>
      </c>
      <c r="AC8" s="48">
        <f>(T8*(cAsymp+cDrug)+'Markov Model (2)'!U8*cProg)/((1+cDR)^ncycle)</f>
        <v>1027856.9283337011</v>
      </c>
      <c r="AD8" s="44">
        <f t="shared" si="10"/>
        <v>6305.6809069873025</v>
      </c>
      <c r="AE8" s="48">
        <f t="shared" si="11"/>
        <v>1034162.6092406884</v>
      </c>
    </row>
    <row r="9" spans="1:31" x14ac:dyDescent="0.2">
      <c r="A9">
        <v>7</v>
      </c>
      <c r="B9">
        <v>62</v>
      </c>
      <c r="C9" s="44">
        <v>1.38E-2</v>
      </c>
      <c r="D9" s="62">
        <f t="shared" si="0"/>
        <v>677.95555007837697</v>
      </c>
      <c r="E9" s="62">
        <f t="shared" si="12"/>
        <v>739.96458205454815</v>
      </c>
      <c r="F9" s="62">
        <f t="shared" si="1"/>
        <v>168.0451302210347</v>
      </c>
      <c r="G9" s="62">
        <f t="shared" si="13"/>
        <v>139.01890633486767</v>
      </c>
      <c r="H9" s="62">
        <f t="shared" si="2"/>
        <v>153.99931970058833</v>
      </c>
      <c r="I9" s="62">
        <f t="shared" si="14"/>
        <v>121.01651161058423</v>
      </c>
      <c r="J9" s="62">
        <f>D9+F9</f>
        <v>846.00068029941167</v>
      </c>
      <c r="K9" s="62">
        <f>D9*uAsymp+F9*uProg</f>
        <v>770.09162024023408</v>
      </c>
      <c r="L9" s="62">
        <f>(D9+F9)/((1+oDR)^ncycle)</f>
        <v>562.6387705624594</v>
      </c>
      <c r="M9" s="62">
        <f>(D9*uAsymp+F9*uProg)/((1+oDR)^ncycle)</f>
        <v>512.15491018171815</v>
      </c>
      <c r="N9" s="52"/>
      <c r="O9" s="48">
        <f>(D9*cAsymp+'Markov Model (2)'!F9*cProg)/((1+cDR)^ncycle)</f>
        <v>560718.40843895706</v>
      </c>
      <c r="P9" s="48">
        <f>(F8*tpDcm*cDeath)/((1+cDR)^(ncycle-1))</f>
        <v>14700.426501174155</v>
      </c>
      <c r="Q9" s="48">
        <f t="shared" si="3"/>
        <v>575418.83494013117</v>
      </c>
      <c r="T9" s="48">
        <f t="shared" si="15"/>
        <v>785.7898103433613</v>
      </c>
      <c r="U9" s="48">
        <f t="shared" si="4"/>
        <v>89.922555600333709</v>
      </c>
      <c r="V9" s="48">
        <f t="shared" si="5"/>
        <v>124.28763405630505</v>
      </c>
      <c r="X9" s="48">
        <f t="shared" si="6"/>
        <v>875.71236594369498</v>
      </c>
      <c r="Y9" s="48">
        <f t="shared" si="7"/>
        <v>813.94223652644348</v>
      </c>
      <c r="Z9" s="48">
        <f t="shared" si="8"/>
        <v>582.39873845790066</v>
      </c>
      <c r="AA9" s="48">
        <f t="shared" si="9"/>
        <v>541.31807447958522</v>
      </c>
      <c r="AC9" s="48">
        <f>(T9*(cAsymp+cDrug)+'Markov Model (2)'!U9*cProg)/((1+cDR)^ncycle)</f>
        <v>963303.56060250395</v>
      </c>
      <c r="AD9" s="44">
        <f t="shared" si="10"/>
        <v>7715.0597231679203</v>
      </c>
      <c r="AE9" s="48">
        <f t="shared" si="11"/>
        <v>971018.62032567186</v>
      </c>
    </row>
    <row r="10" spans="1:31" x14ac:dyDescent="0.2">
      <c r="A10">
        <v>8</v>
      </c>
      <c r="B10">
        <v>63</v>
      </c>
      <c r="C10" s="44">
        <v>1.38E-2</v>
      </c>
      <c r="D10" s="62">
        <f t="shared" si="0"/>
        <v>614.3633194810252</v>
      </c>
      <c r="E10" s="62">
        <f t="shared" si="12"/>
        <v>677.95555007837697</v>
      </c>
      <c r="F10" s="62">
        <f t="shared" si="1"/>
        <v>194.75578189709938</v>
      </c>
      <c r="G10" s="62">
        <f t="shared" si="13"/>
        <v>168.0451302210347</v>
      </c>
      <c r="H10" s="62">
        <f t="shared" si="2"/>
        <v>190.88089862187542</v>
      </c>
      <c r="I10" s="62">
        <f t="shared" si="14"/>
        <v>153.99931970058833</v>
      </c>
      <c r="J10" s="62">
        <f>D10+F10</f>
        <v>809.11910137812458</v>
      </c>
      <c r="K10" s="62">
        <f>D10*uAsymp+F10*uProg</f>
        <v>729.71198992979839</v>
      </c>
      <c r="L10" s="62">
        <f>(D10+F10)/((1+oDR)^ncycle)</f>
        <v>507.65133409361687</v>
      </c>
      <c r="M10" s="62">
        <f>(D10*uAsymp+F10*uProg)/((1+oDR)^ncycle)</f>
        <v>457.83032999841782</v>
      </c>
      <c r="N10" s="52"/>
      <c r="O10" s="48">
        <f>(D10*cAsymp+'Markov Model (2)'!F10*cProg)/((1+cDR)^ncycle)</f>
        <v>559306.13442828518</v>
      </c>
      <c r="P10" s="48">
        <f>(F9*tpDcm*cDeath)/((1+cDR)^(ncycle-1))</f>
        <v>16763.941389463638</v>
      </c>
      <c r="Q10" s="48">
        <f t="shared" si="3"/>
        <v>576070.07581774879</v>
      </c>
      <c r="T10" s="48">
        <f t="shared" si="15"/>
        <v>743.51431854688838</v>
      </c>
      <c r="U10" s="48">
        <f t="shared" si="4"/>
        <v>106.62483340673349</v>
      </c>
      <c r="V10" s="48">
        <f t="shared" si="5"/>
        <v>149.86084804637809</v>
      </c>
      <c r="X10" s="48">
        <f t="shared" si="6"/>
        <v>850.13915195362188</v>
      </c>
      <c r="Y10" s="48">
        <f t="shared" si="7"/>
        <v>786.30722767459406</v>
      </c>
      <c r="Z10" s="48">
        <f t="shared" si="8"/>
        <v>533.38782129775132</v>
      </c>
      <c r="AA10" s="48">
        <f t="shared" si="9"/>
        <v>493.3388823185345</v>
      </c>
      <c r="AC10" s="48">
        <f>(T10*(cAsymp+cDrug)+'Markov Model (2)'!U10*cProg)/((1+cDR)^ncycle)</f>
        <v>900428.34130409581</v>
      </c>
      <c r="AD10" s="44">
        <f t="shared" si="10"/>
        <v>8970.545291565295</v>
      </c>
      <c r="AE10" s="48">
        <f t="shared" si="11"/>
        <v>909398.88659566105</v>
      </c>
    </row>
    <row r="11" spans="1:31" x14ac:dyDescent="0.2">
      <c r="A11">
        <v>9</v>
      </c>
      <c r="B11">
        <v>64</v>
      </c>
      <c r="C11" s="44">
        <v>1.38E-2</v>
      </c>
      <c r="D11" s="62">
        <f t="shared" si="0"/>
        <v>550.59240691889477</v>
      </c>
      <c r="E11" s="62">
        <f t="shared" si="12"/>
        <v>614.3633194810252</v>
      </c>
      <c r="F11" s="62">
        <f t="shared" si="1"/>
        <v>218.14748357564676</v>
      </c>
      <c r="G11" s="62">
        <f t="shared" si="13"/>
        <v>194.75578189709938</v>
      </c>
      <c r="H11" s="62">
        <f t="shared" si="2"/>
        <v>231.26010950545844</v>
      </c>
      <c r="I11" s="62">
        <f t="shared" si="14"/>
        <v>190.88089862187542</v>
      </c>
      <c r="J11" s="62">
        <f>D11+F11</f>
        <v>768.73989049454156</v>
      </c>
      <c r="K11" s="62">
        <f>D11*uAsymp+F11*uProg</f>
        <v>686.67339925468514</v>
      </c>
      <c r="L11" s="62">
        <f>(D11+F11)/((1+oDR)^ncycle)</f>
        <v>455.01596003795879</v>
      </c>
      <c r="M11" s="62">
        <f>(D11*uAsymp+F11*uProg)/((1+oDR)^ncycle)</f>
        <v>406.44092996578757</v>
      </c>
      <c r="N11" s="52"/>
      <c r="O11" s="48">
        <f>(D11*cAsymp+'Markov Model (2)'!F11*cProg)/((1+cDR)^ncycle)</f>
        <v>550310.88089739613</v>
      </c>
      <c r="P11" s="48">
        <f>(F10*tpDcm*cDeath)/((1+cDR)^(ncycle-1))</f>
        <v>18328.828042888603</v>
      </c>
      <c r="Q11" s="48">
        <f t="shared" si="3"/>
        <v>568639.70894028468</v>
      </c>
      <c r="T11" s="48">
        <f t="shared" si="15"/>
        <v>699.79567661633132</v>
      </c>
      <c r="U11" s="48">
        <f t="shared" si="4"/>
        <v>122.61783002932052</v>
      </c>
      <c r="V11" s="48">
        <f t="shared" si="5"/>
        <v>177.58649335434808</v>
      </c>
      <c r="X11" s="48">
        <f t="shared" si="6"/>
        <v>822.41350664565186</v>
      </c>
      <c r="Y11" s="48">
        <f t="shared" si="7"/>
        <v>756.76926530750507</v>
      </c>
      <c r="Z11" s="48">
        <f t="shared" si="8"/>
        <v>486.78529096990133</v>
      </c>
      <c r="AA11" s="48">
        <f t="shared" si="9"/>
        <v>447.93056538225812</v>
      </c>
      <c r="AC11" s="48">
        <f>(T11*(cAsymp+cDrug)+'Markov Model (2)'!U11*cProg)/((1+cDR)^ncycle)</f>
        <v>839043.89424846275</v>
      </c>
      <c r="AD11" s="44">
        <f t="shared" si="10"/>
        <v>10034.660935746879</v>
      </c>
      <c r="AE11" s="48">
        <f t="shared" si="11"/>
        <v>849078.5551842096</v>
      </c>
    </row>
    <row r="12" spans="1:31" x14ac:dyDescent="0.2">
      <c r="A12">
        <v>10</v>
      </c>
      <c r="B12">
        <v>65</v>
      </c>
      <c r="C12" s="44">
        <v>1.38E-2</v>
      </c>
      <c r="D12" s="62">
        <f t="shared" si="0"/>
        <v>487.93499101152457</v>
      </c>
      <c r="E12" s="62">
        <f t="shared" si="12"/>
        <v>550.59240691889477</v>
      </c>
      <c r="F12" s="62">
        <f t="shared" si="1"/>
        <v>237.47416645784529</v>
      </c>
      <c r="G12" s="62">
        <f t="shared" si="13"/>
        <v>218.14748357564676</v>
      </c>
      <c r="H12" s="62">
        <f t="shared" si="2"/>
        <v>274.59084253063014</v>
      </c>
      <c r="I12" s="62">
        <f t="shared" si="14"/>
        <v>231.26010950545844</v>
      </c>
      <c r="J12" s="62">
        <f>D12+F12</f>
        <v>725.4091574693698</v>
      </c>
      <c r="K12" s="62">
        <f>D12*uAsymp+F12*uProg</f>
        <v>641.64386630433228</v>
      </c>
      <c r="L12" s="62">
        <f>(D12+F12)/((1+oDR)^ncycle)</f>
        <v>405.06468465729239</v>
      </c>
      <c r="M12" s="62">
        <f>(D12*uAsymp+F12*uProg)/((1+oDR)^ncycle)</f>
        <v>358.29058358396134</v>
      </c>
      <c r="N12" s="52"/>
      <c r="O12" s="48">
        <f>(D12*cAsymp+'Markov Model (2)'!F12*cProg)/((1+cDR)^ncycle)</f>
        <v>534043.17783447646</v>
      </c>
      <c r="P12" s="48">
        <f>(F11*tpDcm*cDeath)/((1+cDR)^(ncycle-1))</f>
        <v>19368.174052705002</v>
      </c>
      <c r="Q12" s="48">
        <f t="shared" si="3"/>
        <v>553411.35188718152</v>
      </c>
      <c r="T12" s="48">
        <f t="shared" si="15"/>
        <v>655.14871244820938</v>
      </c>
      <c r="U12" s="48">
        <f t="shared" si="4"/>
        <v>137.52281330133437</v>
      </c>
      <c r="V12" s="48">
        <f t="shared" si="5"/>
        <v>207.32847425045617</v>
      </c>
      <c r="X12" s="48">
        <f t="shared" si="6"/>
        <v>792.67152574954378</v>
      </c>
      <c r="Y12" s="48">
        <f t="shared" si="7"/>
        <v>725.53338680179968</v>
      </c>
      <c r="Z12" s="48">
        <f t="shared" si="8"/>
        <v>442.62363978788261</v>
      </c>
      <c r="AA12" s="48">
        <f t="shared" si="9"/>
        <v>405.13405366766085</v>
      </c>
      <c r="AC12" s="48">
        <f>(T12*(cAsymp+cDrug)+'Markov Model (2)'!U12*cProg)/((1+cDR)^ncycle)</f>
        <v>779123.49066303088</v>
      </c>
      <c r="AD12" s="44">
        <f t="shared" si="10"/>
        <v>10886.595779361087</v>
      </c>
      <c r="AE12" s="48">
        <f t="shared" si="11"/>
        <v>790010.08644239197</v>
      </c>
    </row>
    <row r="13" spans="1:31" x14ac:dyDescent="0.2">
      <c r="A13">
        <v>11</v>
      </c>
      <c r="B13">
        <v>66</v>
      </c>
      <c r="C13" s="44">
        <v>3.7900000000000003E-2</v>
      </c>
      <c r="D13" s="62">
        <f t="shared" si="0"/>
        <v>415.76940584092011</v>
      </c>
      <c r="E13" s="62">
        <f t="shared" si="12"/>
        <v>487.93499101152457</v>
      </c>
      <c r="F13" s="62">
        <f t="shared" si="1"/>
        <v>246.52561959168384</v>
      </c>
      <c r="G13" s="62">
        <f t="shared" si="13"/>
        <v>237.47416645784529</v>
      </c>
      <c r="H13" s="62">
        <f t="shared" si="2"/>
        <v>337.70497456739605</v>
      </c>
      <c r="I13" s="62">
        <f t="shared" si="14"/>
        <v>274.59084253063014</v>
      </c>
      <c r="J13" s="62">
        <f>D13+F13</f>
        <v>662.29502543260401</v>
      </c>
      <c r="K13" s="62">
        <f>D13*uAsymp+F13*uProg</f>
        <v>579.87515024263689</v>
      </c>
      <c r="L13" s="62">
        <f>(D13+F13)/((1+oDR)^ncycle)</f>
        <v>348.88875752682185</v>
      </c>
      <c r="M13" s="62">
        <f>(D13*uAsymp+F13*uProg)/((1+oDR)^ncycle)</f>
        <v>305.47099543241285</v>
      </c>
      <c r="N13" s="52"/>
      <c r="O13" s="48">
        <f>(D13*cAsymp+'Markov Model (2)'!F13*cProg)/((1+cDR)^ncycle)</f>
        <v>499110.93148925877</v>
      </c>
      <c r="P13" s="48">
        <f>(F12*tpDcm*cDeath)/((1+cDR)^(ncycle-1))</f>
        <v>19890.650130349812</v>
      </c>
      <c r="Q13" s="48">
        <f t="shared" si="3"/>
        <v>519001.58161960857</v>
      </c>
      <c r="T13" s="48">
        <f t="shared" si="15"/>
        <v>594.28539706177082</v>
      </c>
      <c r="U13" s="48">
        <f t="shared" si="4"/>
        <v>147.71545586666514</v>
      </c>
      <c r="V13" s="48">
        <f t="shared" si="5"/>
        <v>257.99914707156404</v>
      </c>
      <c r="X13" s="48">
        <f t="shared" si="6"/>
        <v>742.00085292843596</v>
      </c>
      <c r="Y13" s="48">
        <f t="shared" si="7"/>
        <v>675.35771910868107</v>
      </c>
      <c r="Z13" s="48">
        <f t="shared" si="8"/>
        <v>390.87679315264256</v>
      </c>
      <c r="AA13" s="48">
        <f t="shared" si="9"/>
        <v>355.77002160339129</v>
      </c>
      <c r="AC13" s="48">
        <f>(T13*(cAsymp+cDrug)+'Markov Model (2)'!U13*cProg)/((1+cDR)^ncycle)</f>
        <v>703037.1789161074</v>
      </c>
      <c r="AD13" s="44">
        <f t="shared" si="10"/>
        <v>11518.803098120699</v>
      </c>
      <c r="AE13" s="48">
        <f t="shared" si="11"/>
        <v>714555.98201422812</v>
      </c>
    </row>
    <row r="14" spans="1:31" x14ac:dyDescent="0.2">
      <c r="A14">
        <v>12</v>
      </c>
      <c r="B14">
        <v>67</v>
      </c>
      <c r="C14" s="44">
        <v>3.7900000000000003E-2</v>
      </c>
      <c r="D14" s="62">
        <f t="shared" si="0"/>
        <v>350.1194166586389</v>
      </c>
      <c r="E14" s="62">
        <f t="shared" si="12"/>
        <v>415.76940584092011</v>
      </c>
      <c r="F14" s="62">
        <f t="shared" si="1"/>
        <v>250.09578437131682</v>
      </c>
      <c r="G14" s="62">
        <f t="shared" si="13"/>
        <v>246.52561959168384</v>
      </c>
      <c r="H14" s="62">
        <f t="shared" si="2"/>
        <v>399.78479897004433</v>
      </c>
      <c r="I14" s="62">
        <f t="shared" si="14"/>
        <v>337.70497456739605</v>
      </c>
      <c r="J14" s="62">
        <f>D14+F14</f>
        <v>600.21520102995578</v>
      </c>
      <c r="K14" s="62">
        <f>D14*uAsymp+F14*uProg</f>
        <v>520.18528410419458</v>
      </c>
      <c r="L14" s="62">
        <f>(D14+F14)/((1+oDR)^ncycle)</f>
        <v>298.28856646509854</v>
      </c>
      <c r="M14" s="62">
        <f>(D14*uAsymp+F14*uProg)/((1+oDR)^ncycle)</f>
        <v>258.5161495833828</v>
      </c>
      <c r="N14" s="52"/>
      <c r="O14" s="48">
        <f>(D14*cAsymp+'Markov Model (2)'!F14*cProg)/((1+cDR)^ncycle)</f>
        <v>459869.14021330944</v>
      </c>
      <c r="P14" s="48">
        <f>(F13*tpDcm*cDeath)/((1+cDR)^(ncycle-1))</f>
        <v>19479.993163550866</v>
      </c>
      <c r="Q14" s="48">
        <f t="shared" si="3"/>
        <v>479349.13337686029</v>
      </c>
      <c r="T14" s="48">
        <f t="shared" si="15"/>
        <v>536.10485668942351</v>
      </c>
      <c r="U14" s="48">
        <f t="shared" si="4"/>
        <v>155.61684553302499</v>
      </c>
      <c r="V14" s="48">
        <f t="shared" si="5"/>
        <v>308.27829777755153</v>
      </c>
      <c r="X14" s="48">
        <f t="shared" si="6"/>
        <v>691.72170222244847</v>
      </c>
      <c r="Y14" s="48">
        <f t="shared" si="7"/>
        <v>626.01224800472107</v>
      </c>
      <c r="Z14" s="48">
        <f t="shared" si="8"/>
        <v>343.76449412588966</v>
      </c>
      <c r="AA14" s="48">
        <f t="shared" si="9"/>
        <v>311.10890848231361</v>
      </c>
      <c r="AC14" s="48">
        <f>(T14*(cAsymp+cDrug)+'Markov Model (2)'!U14*cProg)/((1+cDR)^ncycle)</f>
        <v>631651.94821844622</v>
      </c>
      <c r="AD14" s="44">
        <f t="shared" si="10"/>
        <v>11672.198918714348</v>
      </c>
      <c r="AE14" s="48">
        <f t="shared" si="11"/>
        <v>643324.14713716053</v>
      </c>
    </row>
    <row r="15" spans="1:31" x14ac:dyDescent="0.2">
      <c r="A15">
        <v>13</v>
      </c>
      <c r="B15">
        <v>68</v>
      </c>
      <c r="C15" s="44">
        <v>3.7900000000000003E-2</v>
      </c>
      <c r="D15" s="62">
        <f t="shared" si="0"/>
        <v>291.33436660165336</v>
      </c>
      <c r="E15" s="62">
        <f t="shared" si="12"/>
        <v>350.1194166586389</v>
      </c>
      <c r="F15" s="62">
        <f t="shared" si="1"/>
        <v>248.61831065356944</v>
      </c>
      <c r="G15" s="62">
        <f t="shared" si="13"/>
        <v>250.09578437131682</v>
      </c>
      <c r="H15" s="62">
        <f t="shared" si="2"/>
        <v>460.0473227447772</v>
      </c>
      <c r="I15" s="62">
        <f t="shared" si="14"/>
        <v>399.78479897004433</v>
      </c>
      <c r="J15" s="62">
        <f>D15+F15</f>
        <v>539.95267725522285</v>
      </c>
      <c r="K15" s="62">
        <f>D15*uAsymp+F15*uProg</f>
        <v>463.23138126174774</v>
      </c>
      <c r="L15" s="62">
        <f>(D15+F15)/((1+oDR)^ncycle)</f>
        <v>253.1508852615336</v>
      </c>
      <c r="M15" s="62">
        <f>(D15*uAsymp+F15*uProg)/((1+oDR)^ncycle)</f>
        <v>217.18094786277888</v>
      </c>
      <c r="N15" s="52"/>
      <c r="O15" s="48">
        <f>(D15*cAsymp+'Markov Model (2)'!F15*cProg)/((1+cDR)^ncycle)</f>
        <v>417980.35682674183</v>
      </c>
      <c r="P15" s="48">
        <f>(F14*tpDcm*cDeath)/((1+cDR)^(ncycle-1))</f>
        <v>18643.49141884561</v>
      </c>
      <c r="Q15" s="48">
        <f t="shared" si="3"/>
        <v>436623.84824558743</v>
      </c>
      <c r="T15" s="48">
        <f t="shared" si="15"/>
        <v>480.93966693608189</v>
      </c>
      <c r="U15" s="48">
        <f t="shared" si="4"/>
        <v>161.22325594218211</v>
      </c>
      <c r="V15" s="48">
        <f t="shared" si="5"/>
        <v>357.83707712173606</v>
      </c>
      <c r="X15" s="48">
        <f t="shared" si="6"/>
        <v>642.162922878264</v>
      </c>
      <c r="Y15" s="48">
        <f t="shared" si="7"/>
        <v>577.81012554591439</v>
      </c>
      <c r="Z15" s="48">
        <f t="shared" si="8"/>
        <v>301.07103688260122</v>
      </c>
      <c r="AA15" s="48">
        <f t="shared" si="9"/>
        <v>270.89993430273569</v>
      </c>
      <c r="AC15" s="48">
        <f>(T15*(cAsymp+cDrug)+'Markov Model (2)'!U15*cProg)/((1+cDR)^ncycle)</f>
        <v>564988.18584191799</v>
      </c>
      <c r="AD15" s="44">
        <f t="shared" si="10"/>
        <v>11600.520702961174</v>
      </c>
      <c r="AE15" s="48">
        <f t="shared" si="11"/>
        <v>576588.70654487913</v>
      </c>
    </row>
    <row r="16" spans="1:31" x14ac:dyDescent="0.2">
      <c r="A16">
        <v>14</v>
      </c>
      <c r="B16">
        <v>69</v>
      </c>
      <c r="C16" s="44">
        <v>3.7900000000000003E-2</v>
      </c>
      <c r="D16" s="62">
        <f t="shared" si="0"/>
        <v>239.50598278321922</v>
      </c>
      <c r="E16" s="62">
        <f t="shared" si="12"/>
        <v>291.33436660165336</v>
      </c>
      <c r="F16" s="62">
        <f t="shared" si="1"/>
        <v>242.68974140599519</v>
      </c>
      <c r="G16" s="62">
        <f t="shared" si="13"/>
        <v>248.61831065356944</v>
      </c>
      <c r="H16" s="62">
        <f t="shared" si="2"/>
        <v>517.80427581078561</v>
      </c>
      <c r="I16" s="62">
        <f t="shared" si="14"/>
        <v>460.0473227447772</v>
      </c>
      <c r="J16" s="62">
        <f>D16+F16</f>
        <v>482.19572418921439</v>
      </c>
      <c r="K16" s="62">
        <f>D16*uAsymp+F16*uProg</f>
        <v>409.54798969855466</v>
      </c>
      <c r="L16" s="62">
        <f>(D16+F16)/((1+oDR)^ncycle)</f>
        <v>213.27563382864429</v>
      </c>
      <c r="M16" s="62">
        <f>(D16*uAsymp+F16*uProg)/((1+oDR)^ncycle)</f>
        <v>181.14347080342708</v>
      </c>
      <c r="N16" s="52"/>
      <c r="O16" s="48">
        <f>(D16*cAsymp+'Markov Model (2)'!F16*cProg)/((1+cDR)^ncycle)</f>
        <v>374992.58358663489</v>
      </c>
      <c r="P16" s="48">
        <f>(F15*tpDcm*cDeath)/((1+cDR)^(ncycle-1))</f>
        <v>17484.294851758499</v>
      </c>
      <c r="Q16" s="48">
        <f t="shared" si="3"/>
        <v>392476.87843839341</v>
      </c>
      <c r="T16" s="48">
        <f t="shared" si="15"/>
        <v>429.04627687367855</v>
      </c>
      <c r="U16" s="48">
        <f t="shared" si="4"/>
        <v>164.59518283617183</v>
      </c>
      <c r="V16" s="48">
        <f t="shared" si="5"/>
        <v>406.35854029014962</v>
      </c>
      <c r="X16" s="48">
        <f t="shared" si="6"/>
        <v>593.64145970985032</v>
      </c>
      <c r="Y16" s="48">
        <f t="shared" si="7"/>
        <v>531.0403501571235</v>
      </c>
      <c r="Z16" s="48">
        <f t="shared" si="8"/>
        <v>262.56819012542354</v>
      </c>
      <c r="AA16" s="48">
        <f t="shared" si="9"/>
        <v>234.87965899901491</v>
      </c>
      <c r="AC16" s="48">
        <f>(T16*(cAsymp+cDrug)+'Markov Model (2)'!U16*cProg)/((1+cDR)^ncycle)</f>
        <v>503053.19733916636</v>
      </c>
      <c r="AD16" s="44">
        <f t="shared" si="10"/>
        <v>11338.163051801617</v>
      </c>
      <c r="AE16" s="48">
        <f t="shared" si="11"/>
        <v>514391.36039096798</v>
      </c>
    </row>
    <row r="17" spans="1:31" x14ac:dyDescent="0.2">
      <c r="A17">
        <v>15</v>
      </c>
      <c r="B17">
        <v>70</v>
      </c>
      <c r="C17" s="44">
        <v>3.7900000000000003E-2</v>
      </c>
      <c r="D17" s="62">
        <f t="shared" si="0"/>
        <v>194.50280861825229</v>
      </c>
      <c r="E17" s="62">
        <f t="shared" si="12"/>
        <v>239.50598278321922</v>
      </c>
      <c r="F17" s="62">
        <f t="shared" si="1"/>
        <v>233.01423641329154</v>
      </c>
      <c r="G17" s="62">
        <f t="shared" si="13"/>
        <v>242.68974140599519</v>
      </c>
      <c r="H17" s="62">
        <f t="shared" si="2"/>
        <v>572.48295496845617</v>
      </c>
      <c r="I17" s="62">
        <f t="shared" si="14"/>
        <v>517.80427581078561</v>
      </c>
      <c r="J17" s="62">
        <f>D17+F17</f>
        <v>427.51704503154383</v>
      </c>
      <c r="K17" s="62">
        <f>D17*uAsymp+F17*uProg</f>
        <v>359.53834549730834</v>
      </c>
      <c r="L17" s="62">
        <f>(D17+F17)/((1+oDR)^ncycle)</f>
        <v>178.38792576056588</v>
      </c>
      <c r="M17" s="62">
        <f>(D17*uAsymp+F17*uProg)/((1+oDR)^ncycle)</f>
        <v>150.02278957069007</v>
      </c>
      <c r="N17" s="52"/>
      <c r="O17" s="48">
        <f>(D17*cAsymp+'Markov Model (2)'!F17*cProg)/((1+cDR)^ncycle)</f>
        <v>332265.7116533771</v>
      </c>
      <c r="P17" s="48">
        <f>(F16*tpDcm*cDeath)/((1+cDR)^(ncycle-1))</f>
        <v>16101.286000338767</v>
      </c>
      <c r="Q17" s="48">
        <f t="shared" si="3"/>
        <v>348366.99765371589</v>
      </c>
      <c r="T17" s="48">
        <f t="shared" si="15"/>
        <v>380.60695221464027</v>
      </c>
      <c r="U17" s="48">
        <f t="shared" si="4"/>
        <v>165.84621874678103</v>
      </c>
      <c r="V17" s="48">
        <f t="shared" si="5"/>
        <v>453.54682903857872</v>
      </c>
      <c r="X17" s="48">
        <f t="shared" si="6"/>
        <v>546.45317096142128</v>
      </c>
      <c r="Y17" s="48">
        <f t="shared" si="7"/>
        <v>485.96126866399402</v>
      </c>
      <c r="Z17" s="48">
        <f t="shared" si="8"/>
        <v>228.01581557034606</v>
      </c>
      <c r="AA17" s="48">
        <f t="shared" si="9"/>
        <v>202.77465828420171</v>
      </c>
      <c r="AC17" s="48">
        <f>(T17*(cAsymp+cDrug)+'Markov Model (2)'!U17*cProg)/((1+cDR)^ncycle)</f>
        <v>445826.47216272209</v>
      </c>
      <c r="AD17" s="44">
        <f t="shared" si="10"/>
        <v>10920.091215103108</v>
      </c>
      <c r="AE17" s="48">
        <f t="shared" si="11"/>
        <v>456746.56337782519</v>
      </c>
    </row>
    <row r="18" spans="1:31" x14ac:dyDescent="0.2">
      <c r="A18">
        <v>16</v>
      </c>
      <c r="B18">
        <v>71</v>
      </c>
      <c r="C18" s="44">
        <v>3.7900000000000003E-2</v>
      </c>
      <c r="D18" s="62">
        <f t="shared" si="0"/>
        <v>156.01070279270016</v>
      </c>
      <c r="E18" s="62">
        <f t="shared" si="12"/>
        <v>194.50280861825229</v>
      </c>
      <c r="F18" s="62">
        <f t="shared" si="1"/>
        <v>220.35131077015441</v>
      </c>
      <c r="G18" s="62">
        <f t="shared" si="13"/>
        <v>233.01423641329154</v>
      </c>
      <c r="H18" s="62">
        <f t="shared" si="2"/>
        <v>623.6379864371454</v>
      </c>
      <c r="I18" s="62">
        <f t="shared" si="14"/>
        <v>572.48295496845617</v>
      </c>
      <c r="J18" s="62">
        <f>D18+F18</f>
        <v>376.3620135628546</v>
      </c>
      <c r="K18" s="62">
        <f>D18*uAsymp+F18*uProg</f>
        <v>313.47365073068096</v>
      </c>
      <c r="L18" s="62">
        <f>(D18+F18)/((1+oDR)^ncycle)</f>
        <v>148.15350796967437</v>
      </c>
      <c r="M18" s="62">
        <f>(D18*uAsymp+F18*uProg)/((1+oDR)^ncycle)</f>
        <v>123.39773765200867</v>
      </c>
      <c r="N18" s="52"/>
      <c r="O18" s="48">
        <f>(D18*cAsymp+'Markov Model (2)'!F18*cProg)/((1+cDR)^ncycle)</f>
        <v>290927.94047461182</v>
      </c>
      <c r="P18" s="48">
        <f>(F17*tpDcm*cDeath)/((1+cDR)^(ncycle-1))</f>
        <v>14584.304926385646</v>
      </c>
      <c r="Q18" s="48">
        <f t="shared" si="3"/>
        <v>305512.24540099746</v>
      </c>
      <c r="T18" s="48">
        <f t="shared" si="15"/>
        <v>335.7333925485342</v>
      </c>
      <c r="U18" s="48">
        <f t="shared" si="4"/>
        <v>165.13227042143208</v>
      </c>
      <c r="V18" s="48">
        <f t="shared" si="5"/>
        <v>499.13433703003375</v>
      </c>
      <c r="X18" s="48">
        <f t="shared" si="6"/>
        <v>500.86566296996625</v>
      </c>
      <c r="Y18" s="48">
        <f t="shared" si="7"/>
        <v>442.79592573718156</v>
      </c>
      <c r="Z18" s="48">
        <f t="shared" si="8"/>
        <v>197.16390686746198</v>
      </c>
      <c r="AA18" s="48">
        <f t="shared" si="9"/>
        <v>174.304970609599</v>
      </c>
      <c r="AC18" s="48">
        <f>(T18*(cAsymp+cDrug)+'Markov Model (2)'!U18*cProg)/((1+cDR)^ncycle)</f>
        <v>393251.41715986736</v>
      </c>
      <c r="AD18" s="44">
        <f t="shared" si="10"/>
        <v>10380.274880720295</v>
      </c>
      <c r="AE18" s="48">
        <f t="shared" si="11"/>
        <v>403631.69204058766</v>
      </c>
    </row>
    <row r="19" spans="1:31" x14ac:dyDescent="0.2">
      <c r="A19">
        <v>17</v>
      </c>
      <c r="B19">
        <v>72</v>
      </c>
      <c r="C19" s="44">
        <v>3.7900000000000003E-2</v>
      </c>
      <c r="D19" s="62">
        <f t="shared" si="0"/>
        <v>123.57607768209789</v>
      </c>
      <c r="E19" s="62">
        <f t="shared" si="12"/>
        <v>156.01070279270016</v>
      </c>
      <c r="F19" s="62">
        <f t="shared" si="1"/>
        <v>205.46911895120144</v>
      </c>
      <c r="G19" s="62">
        <f t="shared" si="13"/>
        <v>220.35131077015441</v>
      </c>
      <c r="H19" s="62">
        <f t="shared" si="2"/>
        <v>670.95480336670073</v>
      </c>
      <c r="I19" s="62">
        <f t="shared" si="14"/>
        <v>623.6379864371454</v>
      </c>
      <c r="J19" s="62">
        <f>D19+F19</f>
        <v>329.04519663329933</v>
      </c>
      <c r="K19" s="62">
        <f>D19*uAsymp+F19*uProg</f>
        <v>271.49911301139412</v>
      </c>
      <c r="L19" s="62">
        <f>(D19+F19)/((1+oDR)^ncycle)</f>
        <v>122.19567813984646</v>
      </c>
      <c r="M19" s="62">
        <f>(D19*uAsymp+F19*uProg)/((1+oDR)^ncycle)</f>
        <v>100.82511025306579</v>
      </c>
      <c r="N19" s="52"/>
      <c r="O19" s="48">
        <f>(D19*cAsymp+'Markov Model (2)'!F19*cProg)/((1+cDR)^ncycle)</f>
        <v>251857.63881727782</v>
      </c>
      <c r="P19" s="48">
        <f>(F18*tpDcm*cDeath)/((1+cDR)^(ncycle-1))</f>
        <v>13011.071189386477</v>
      </c>
      <c r="Q19" s="48">
        <f t="shared" si="3"/>
        <v>264868.71000666427</v>
      </c>
      <c r="T19" s="48">
        <f t="shared" si="15"/>
        <v>294.47175860431946</v>
      </c>
      <c r="U19" s="48">
        <f t="shared" si="4"/>
        <v>162.64125517587041</v>
      </c>
      <c r="V19" s="48">
        <f t="shared" si="5"/>
        <v>542.88698621981018</v>
      </c>
      <c r="X19" s="48">
        <f t="shared" si="6"/>
        <v>457.11301378018987</v>
      </c>
      <c r="Y19" s="48">
        <f t="shared" si="7"/>
        <v>401.72911205600627</v>
      </c>
      <c r="Z19" s="48">
        <f t="shared" si="8"/>
        <v>169.75550859558282</v>
      </c>
      <c r="AA19" s="48">
        <f t="shared" si="9"/>
        <v>149.18789813215039</v>
      </c>
      <c r="AC19" s="48">
        <f>(T19*(cAsymp+cDrug)+'Markov Model (2)'!U19*cProg)/((1+cDR)^ncycle)</f>
        <v>345232.0256457738</v>
      </c>
      <c r="AD19" s="44">
        <f t="shared" si="10"/>
        <v>9750.5556858674354</v>
      </c>
      <c r="AE19" s="48">
        <f t="shared" si="11"/>
        <v>354982.58133164124</v>
      </c>
    </row>
    <row r="20" spans="1:31" x14ac:dyDescent="0.2">
      <c r="A20">
        <v>18</v>
      </c>
      <c r="B20">
        <v>73</v>
      </c>
      <c r="C20" s="44">
        <v>3.7900000000000003E-2</v>
      </c>
      <c r="D20" s="62">
        <f t="shared" si="0"/>
        <v>96.648850355168747</v>
      </c>
      <c r="E20" s="62">
        <f t="shared" si="12"/>
        <v>123.57607768209789</v>
      </c>
      <c r="F20" s="62">
        <f t="shared" si="1"/>
        <v>189.1051654830483</v>
      </c>
      <c r="G20" s="62">
        <f t="shared" si="13"/>
        <v>205.46911895120144</v>
      </c>
      <c r="H20" s="62">
        <f t="shared" si="2"/>
        <v>714.24598416178299</v>
      </c>
      <c r="I20" s="62">
        <f t="shared" si="14"/>
        <v>670.95480336670073</v>
      </c>
      <c r="J20" s="62">
        <f>D20+F20</f>
        <v>285.75401583821701</v>
      </c>
      <c r="K20" s="62">
        <f>D20*uAsymp+F20*uProg</f>
        <v>233.64528194969654</v>
      </c>
      <c r="L20" s="62">
        <f>(D20+F20)/((1+oDR)^ncycle)</f>
        <v>100.11214523915565</v>
      </c>
      <c r="M20" s="62">
        <f>(D20*uAsymp+F20*uProg)/((1+oDR)^ncycle)</f>
        <v>81.856173857708541</v>
      </c>
      <c r="N20" s="52"/>
      <c r="O20" s="48">
        <f>(D20*cAsymp+'Markov Model (2)'!F20*cProg)/((1+cDR)^ncycle)</f>
        <v>215685.62411319459</v>
      </c>
      <c r="P20" s="48">
        <f>(F19*tpDcm*cDeath)/((1+cDR)^(ncycle-1))</f>
        <v>11445.587984841275</v>
      </c>
      <c r="Q20" s="48">
        <f t="shared" si="3"/>
        <v>227131.21209803587</v>
      </c>
      <c r="T20" s="48">
        <f t="shared" si="15"/>
        <v>256.80882067882692</v>
      </c>
      <c r="U20" s="48">
        <f t="shared" si="4"/>
        <v>158.58342160271309</v>
      </c>
      <c r="V20" s="48">
        <f t="shared" si="5"/>
        <v>584.60775771845999</v>
      </c>
      <c r="X20" s="48">
        <f t="shared" si="6"/>
        <v>415.39224228154001</v>
      </c>
      <c r="Y20" s="48">
        <f t="shared" si="7"/>
        <v>362.90594584692042</v>
      </c>
      <c r="Z20" s="48">
        <f t="shared" si="8"/>
        <v>145.53009296657569</v>
      </c>
      <c r="AA20" s="48">
        <f t="shared" si="9"/>
        <v>127.14184489133983</v>
      </c>
      <c r="AC20" s="48">
        <f>(T20*(cAsymp+cDrug)+'Markov Model (2)'!U20*cProg)/((1+cDR)^ncycle)</f>
        <v>301633.21515166672</v>
      </c>
      <c r="AD20" s="44">
        <f t="shared" si="10"/>
        <v>9059.8762752399543</v>
      </c>
      <c r="AE20" s="48">
        <f t="shared" si="11"/>
        <v>310693.0914269067</v>
      </c>
    </row>
    <row r="21" spans="1:31" x14ac:dyDescent="0.2">
      <c r="A21">
        <v>19</v>
      </c>
      <c r="B21">
        <v>74</v>
      </c>
      <c r="C21" s="44">
        <v>3.7900000000000003E-2</v>
      </c>
      <c r="D21" s="62">
        <f t="shared" si="0"/>
        <v>74.622577359225716</v>
      </c>
      <c r="E21" s="62">
        <f t="shared" si="12"/>
        <v>96.648850355168747</v>
      </c>
      <c r="F21" s="62">
        <f t="shared" si="1"/>
        <v>171.93558645626558</v>
      </c>
      <c r="G21" s="62">
        <f t="shared" si="13"/>
        <v>189.1051654830483</v>
      </c>
      <c r="H21" s="62">
        <f t="shared" si="2"/>
        <v>753.4418361845087</v>
      </c>
      <c r="I21" s="62">
        <f t="shared" si="14"/>
        <v>714.24598416178299</v>
      </c>
      <c r="J21" s="62">
        <f>D21+F21</f>
        <v>246.5581638154913</v>
      </c>
      <c r="K21" s="62">
        <f>D21*uAsymp+F21*uProg</f>
        <v>199.84313833346363</v>
      </c>
      <c r="L21" s="62">
        <f>(D21+F21)/((1+oDR)^ncycle)</f>
        <v>81.490680985825108</v>
      </c>
      <c r="M21" s="62">
        <f>(D21*uAsymp+F21*uProg)/((1+oDR)^ncycle)</f>
        <v>66.050757278210995</v>
      </c>
      <c r="N21" s="52"/>
      <c r="O21" s="48">
        <f>(D21*cAsymp+'Markov Model (2)'!F21*cProg)/((1+cDR)^ncycle)</f>
        <v>182812.7112219483</v>
      </c>
      <c r="P21" s="48">
        <f>(F20*tpDcm*cDeath)/((1+cDR)^(ncycle-1))</f>
        <v>9937.7730896170033</v>
      </c>
      <c r="Q21" s="48">
        <f t="shared" si="3"/>
        <v>192750.48431156529</v>
      </c>
      <c r="T21" s="48">
        <f t="shared" si="15"/>
        <v>222.67892841061087</v>
      </c>
      <c r="U21" s="48">
        <f t="shared" si="4"/>
        <v>153.18243464805184</v>
      </c>
      <c r="V21" s="48">
        <f t="shared" si="5"/>
        <v>624.13863694133727</v>
      </c>
      <c r="X21" s="48">
        <f t="shared" si="6"/>
        <v>375.86136305866273</v>
      </c>
      <c r="Y21" s="48">
        <f t="shared" si="7"/>
        <v>326.43180797611922</v>
      </c>
      <c r="Z21" s="48">
        <f t="shared" si="8"/>
        <v>124.22707063486996</v>
      </c>
      <c r="AA21" s="48">
        <f t="shared" si="9"/>
        <v>107.88995957690003</v>
      </c>
      <c r="AC21" s="48">
        <f>(T21*(cAsymp+cDrug)+'Markov Model (2)'!U21*cProg)/((1+cDR)^ncycle)</f>
        <v>262283.78739900311</v>
      </c>
      <c r="AD21" s="44">
        <f t="shared" si="10"/>
        <v>8333.8075701803191</v>
      </c>
      <c r="AE21" s="48">
        <f t="shared" si="11"/>
        <v>270617.59496918344</v>
      </c>
    </row>
    <row r="22" spans="1:31" x14ac:dyDescent="0.2">
      <c r="A22">
        <v>20</v>
      </c>
      <c r="B22">
        <v>75</v>
      </c>
      <c r="C22" s="44">
        <v>3.7900000000000003E-2</v>
      </c>
      <c r="D22" s="62">
        <f t="shared" si="0"/>
        <v>56.869866205465883</v>
      </c>
      <c r="E22" s="62">
        <f t="shared" si="12"/>
        <v>74.622577359225716</v>
      </c>
      <c r="F22" s="62">
        <f t="shared" si="1"/>
        <v>154.55340523297843</v>
      </c>
      <c r="G22" s="62">
        <f t="shared" si="13"/>
        <v>171.93558645626558</v>
      </c>
      <c r="H22" s="62">
        <f t="shared" si="2"/>
        <v>788.57672856155568</v>
      </c>
      <c r="I22" s="62">
        <f t="shared" si="14"/>
        <v>753.4418361845087</v>
      </c>
      <c r="J22" s="62">
        <f>D22+F22</f>
        <v>211.42327143844432</v>
      </c>
      <c r="K22" s="62">
        <f>D22*uAsymp+F22*uProg</f>
        <v>169.94142681992642</v>
      </c>
      <c r="L22" s="62">
        <f>(D22+F22)/((1+oDR)^ncycle)</f>
        <v>65.922775408226599</v>
      </c>
      <c r="M22" s="62">
        <f>(D22*uAsymp+F22*uProg)/((1+oDR)^ncycle)</f>
        <v>52.988540176218635</v>
      </c>
      <c r="N22" s="52"/>
      <c r="O22" s="48">
        <f>(D22*cAsymp+'Markov Model (2)'!F22*cProg)/((1+cDR)^ncycle)</f>
        <v>153437.59347407118</v>
      </c>
      <c r="P22" s="48">
        <f>(F21*tpDcm*cDeath)/((1+cDR)^(ncycle-1))</f>
        <v>8524.0422437421439</v>
      </c>
      <c r="Q22" s="48">
        <f t="shared" si="3"/>
        <v>161961.63571781333</v>
      </c>
      <c r="T22" s="48">
        <f t="shared" si="15"/>
        <v>191.97150418278773</v>
      </c>
      <c r="U22" s="48">
        <f t="shared" si="4"/>
        <v>146.66734801874395</v>
      </c>
      <c r="V22" s="48">
        <f t="shared" si="5"/>
        <v>661.36114779846832</v>
      </c>
      <c r="X22" s="48">
        <f t="shared" si="6"/>
        <v>338.63885220153168</v>
      </c>
      <c r="Y22" s="48">
        <f t="shared" si="7"/>
        <v>292.37343998770632</v>
      </c>
      <c r="Z22" s="48">
        <f t="shared" si="8"/>
        <v>105.58919482371564</v>
      </c>
      <c r="AA22" s="48">
        <f t="shared" si="9"/>
        <v>91.163420604111721</v>
      </c>
      <c r="AC22" s="48">
        <f>(T22*(cAsymp+cDrug)+'Markov Model (2)'!U22*cProg)/((1+cDR)^ncycle)</f>
        <v>226981.15082370958</v>
      </c>
      <c r="AD22" s="44">
        <f t="shared" si="10"/>
        <v>7594.318144669819</v>
      </c>
      <c r="AE22" s="48">
        <f t="shared" si="11"/>
        <v>234575.4689683794</v>
      </c>
    </row>
    <row r="23" spans="1:31" x14ac:dyDescent="0.2">
      <c r="A23">
        <v>21</v>
      </c>
      <c r="B23">
        <v>76</v>
      </c>
      <c r="C23" s="44">
        <v>9.1200000000000003E-2</v>
      </c>
      <c r="D23" s="62">
        <f t="shared" si="0"/>
        <v>39.740662504379657</v>
      </c>
      <c r="E23" s="62">
        <f t="shared" si="12"/>
        <v>56.869866205465883</v>
      </c>
      <c r="F23" s="62">
        <f t="shared" si="1"/>
        <v>129.21779579393186</v>
      </c>
      <c r="G23" s="62">
        <f t="shared" si="13"/>
        <v>154.55340523297843</v>
      </c>
      <c r="H23" s="62">
        <f t="shared" si="2"/>
        <v>831.04154170168852</v>
      </c>
      <c r="I23" s="62">
        <f t="shared" si="14"/>
        <v>788.57672856155568</v>
      </c>
      <c r="J23" s="62">
        <f>D23+F23</f>
        <v>168.95845829831151</v>
      </c>
      <c r="K23" s="62">
        <f>D23*uAsymp+F23*uProg</f>
        <v>134.66697622460958</v>
      </c>
      <c r="L23" s="62">
        <f>(D23+F23)/((1+oDR)^ncycle)</f>
        <v>49.700043344149876</v>
      </c>
      <c r="M23" s="62">
        <f>(D23*uAsymp+F23*uProg)/((1+oDR)^ncycle)</f>
        <v>39.613018624801121</v>
      </c>
      <c r="N23" s="52"/>
      <c r="O23" s="48">
        <f>(D23*cAsymp+'Markov Model (2)'!F23*cProg)/((1+cDR)^ncycle)</f>
        <v>119875.30357384079</v>
      </c>
      <c r="P23" s="48">
        <f>(F22*tpDcm*cDeath)/((1+cDR)^(ncycle-1))</f>
        <v>7228.5723461974721</v>
      </c>
      <c r="Q23" s="48">
        <f t="shared" si="3"/>
        <v>127103.87592003826</v>
      </c>
      <c r="T23" s="48">
        <f t="shared" si="15"/>
        <v>154.30669506212473</v>
      </c>
      <c r="U23" s="48">
        <f t="shared" si="4"/>
        <v>131.4481916158156</v>
      </c>
      <c r="V23" s="48">
        <f t="shared" si="5"/>
        <v>714.24511332205964</v>
      </c>
      <c r="X23" s="48">
        <f t="shared" si="6"/>
        <v>285.75488667794036</v>
      </c>
      <c r="Y23" s="48">
        <f t="shared" si="7"/>
        <v>245.17750402088018</v>
      </c>
      <c r="Z23" s="48">
        <f t="shared" si="8"/>
        <v>84.05634377073504</v>
      </c>
      <c r="AA23" s="48">
        <f t="shared" si="9"/>
        <v>72.120287433813544</v>
      </c>
      <c r="AC23" s="48">
        <f>(T23*(cAsymp+cDrug)+'Markov Model (2)'!U23*cProg)/((1+cDR)^ncycle)</f>
        <v>184083.809268988</v>
      </c>
      <c r="AD23" s="44">
        <f t="shared" si="10"/>
        <v>6859.7358588136103</v>
      </c>
      <c r="AE23" s="48">
        <f t="shared" si="11"/>
        <v>190943.5451278016</v>
      </c>
    </row>
    <row r="24" spans="1:31" x14ac:dyDescent="0.2">
      <c r="A24">
        <v>22</v>
      </c>
      <c r="B24">
        <v>77</v>
      </c>
      <c r="C24" s="44">
        <v>9.1200000000000003E-2</v>
      </c>
      <c r="D24" s="62">
        <f t="shared" si="0"/>
        <v>27.373368333016742</v>
      </c>
      <c r="E24" s="62">
        <f t="shared" si="12"/>
        <v>39.740662504379657</v>
      </c>
      <c r="F24" s="62">
        <f t="shared" si="1"/>
        <v>106.79340919939901</v>
      </c>
      <c r="G24" s="62">
        <f t="shared" si="13"/>
        <v>129.21779579393186</v>
      </c>
      <c r="H24" s="62">
        <f t="shared" si="2"/>
        <v>865.83322246758428</v>
      </c>
      <c r="I24" s="62">
        <f t="shared" si="14"/>
        <v>831.04154170168852</v>
      </c>
      <c r="J24" s="62">
        <f>D24+F24</f>
        <v>134.16677753241575</v>
      </c>
      <c r="K24" s="62">
        <f>D24*uAsymp+F24*uProg</f>
        <v>106.09975681591517</v>
      </c>
      <c r="L24" s="62">
        <f>(D24+F24)/((1+oDR)^ncycle)</f>
        <v>37.231964600997607</v>
      </c>
      <c r="M24" s="62">
        <f>(D24*uAsymp+F24*uProg)/((1+oDR)^ncycle)</f>
        <v>29.443223297139891</v>
      </c>
      <c r="N24" s="52"/>
      <c r="O24" s="48">
        <f>(D24*cAsymp+'Markov Model (2)'!F24*cProg)/((1+cDR)^ncycle)</f>
        <v>92705.270723096794</v>
      </c>
      <c r="P24" s="48">
        <f>(F23*tpDcm*cDeath)/((1+cDR)^(ncycle-1))</f>
        <v>5701.5169141059514</v>
      </c>
      <c r="Q24" s="48">
        <f t="shared" si="3"/>
        <v>98406.787637202739</v>
      </c>
      <c r="T24" s="48">
        <f t="shared" si="15"/>
        <v>123.26018801562532</v>
      </c>
      <c r="U24" s="48">
        <f t="shared" si="4"/>
        <v>116.71662425491459</v>
      </c>
      <c r="V24" s="48">
        <f t="shared" si="5"/>
        <v>760.02318772946012</v>
      </c>
      <c r="X24" s="48">
        <f t="shared" si="6"/>
        <v>239.97681227053991</v>
      </c>
      <c r="Y24" s="48">
        <f t="shared" si="7"/>
        <v>204.63464680602999</v>
      </c>
      <c r="Z24" s="48">
        <f t="shared" si="8"/>
        <v>66.594788544863647</v>
      </c>
      <c r="AA24" s="48">
        <f t="shared" si="9"/>
        <v>56.787157492688223</v>
      </c>
      <c r="AC24" s="48">
        <f>(T24*(cAsymp+cDrug)+'Markov Model (2)'!U24*cProg)/((1+cDR)^ncycle)</f>
        <v>148476.37000428728</v>
      </c>
      <c r="AD24" s="44">
        <f t="shared" si="10"/>
        <v>5799.929361288544</v>
      </c>
      <c r="AE24" s="48">
        <f t="shared" si="11"/>
        <v>154276.29936557583</v>
      </c>
    </row>
    <row r="25" spans="1:31" x14ac:dyDescent="0.2">
      <c r="A25">
        <v>23</v>
      </c>
      <c r="B25">
        <v>78</v>
      </c>
      <c r="C25" s="44">
        <v>9.1200000000000003E-2</v>
      </c>
      <c r="D25" s="62">
        <f t="shared" si="0"/>
        <v>18.581042424451766</v>
      </c>
      <c r="E25" s="62">
        <f t="shared" si="12"/>
        <v>27.373368333016742</v>
      </c>
      <c r="F25" s="62">
        <f t="shared" si="1"/>
        <v>87.330713617097814</v>
      </c>
      <c r="G25" s="62">
        <f t="shared" si="13"/>
        <v>106.79340919939901</v>
      </c>
      <c r="H25" s="62">
        <f t="shared" si="2"/>
        <v>894.08824395845045</v>
      </c>
      <c r="I25" s="62">
        <f t="shared" si="14"/>
        <v>865.83322246758428</v>
      </c>
      <c r="J25" s="62">
        <f>D25+F25</f>
        <v>105.91175604154958</v>
      </c>
      <c r="K25" s="62">
        <f>D25*uAsymp+F25*uProg</f>
        <v>83.150025516052551</v>
      </c>
      <c r="L25" s="62">
        <f>(D25+F25)/((1+oDR)^ncycle)</f>
        <v>27.727407664179946</v>
      </c>
      <c r="M25" s="62">
        <f>(D25*uAsymp+F25*uProg)/((1+oDR)^ncycle)</f>
        <v>21.768448951654467</v>
      </c>
      <c r="N25" s="52"/>
      <c r="O25" s="48">
        <f>(D25*cAsymp+'Markov Model (2)'!F25*cProg)/((1+cDR)^ncycle)</f>
        <v>71021.057948546033</v>
      </c>
      <c r="P25" s="48">
        <f>(F24*tpDcm*cDeath)/((1+cDR)^(ncycle-1))</f>
        <v>4445.3573053558794</v>
      </c>
      <c r="Q25" s="48">
        <f t="shared" si="3"/>
        <v>75466.415253901912</v>
      </c>
      <c r="T25" s="48">
        <f t="shared" si="15"/>
        <v>97.843937246803421</v>
      </c>
      <c r="U25" s="48">
        <f t="shared" si="4"/>
        <v>102.73949610642609</v>
      </c>
      <c r="V25" s="48">
        <f t="shared" si="5"/>
        <v>799.41656664677055</v>
      </c>
      <c r="X25" s="48">
        <f t="shared" si="6"/>
        <v>200.58343335322951</v>
      </c>
      <c r="Y25" s="48">
        <f t="shared" si="7"/>
        <v>170.0063624642828</v>
      </c>
      <c r="Z25" s="48">
        <f t="shared" si="8"/>
        <v>52.512193500823493</v>
      </c>
      <c r="AA25" s="48">
        <f t="shared" si="9"/>
        <v>44.507200085533974</v>
      </c>
      <c r="AC25" s="48">
        <f>(T25*(cAsymp+cDrug)+'Markov Model (2)'!U25*cProg)/((1+cDR)^ncycle)</f>
        <v>119113.6683030978</v>
      </c>
      <c r="AD25" s="44">
        <f t="shared" si="10"/>
        <v>4858.418718699184</v>
      </c>
      <c r="AE25" s="48">
        <f t="shared" si="11"/>
        <v>123972.08702179699</v>
      </c>
    </row>
    <row r="26" spans="1:31" x14ac:dyDescent="0.2">
      <c r="A26">
        <v>24</v>
      </c>
      <c r="B26">
        <v>79</v>
      </c>
      <c r="C26" s="44">
        <v>9.1200000000000003E-2</v>
      </c>
      <c r="D26" s="62">
        <f t="shared" si="0"/>
        <v>12.427001173473286</v>
      </c>
      <c r="E26" s="62">
        <f t="shared" si="12"/>
        <v>18.581042424451766</v>
      </c>
      <c r="F26" s="62">
        <f t="shared" si="1"/>
        <v>70.725995674522238</v>
      </c>
      <c r="G26" s="62">
        <f t="shared" si="13"/>
        <v>87.330713617097814</v>
      </c>
      <c r="H26" s="62">
        <f t="shared" si="2"/>
        <v>916.8470031520045</v>
      </c>
      <c r="I26" s="62">
        <f t="shared" si="14"/>
        <v>894.08824395845045</v>
      </c>
      <c r="J26" s="62">
        <f>D26+F26</f>
        <v>83.152996847995524</v>
      </c>
      <c r="K26" s="62">
        <f>D26*uAsymp+F26*uProg</f>
        <v>64.850147870691302</v>
      </c>
      <c r="L26" s="62">
        <f>(D26+F26)/((1+oDR)^ncycle)</f>
        <v>20.537006451150337</v>
      </c>
      <c r="M26" s="62">
        <f>(D26*uAsymp+F26*uProg)/((1+oDR)^ncycle)</f>
        <v>16.016595380356943</v>
      </c>
      <c r="N26" s="52"/>
      <c r="O26" s="48">
        <f>(D26*cAsymp+'Markov Model (2)'!F26*cProg)/((1+cDR)^ncycle)</f>
        <v>53938.012578523638</v>
      </c>
      <c r="P26" s="48">
        <f>(F25*tpDcm*cDeath)/((1+cDR)^(ncycle-1))</f>
        <v>3429.4412469873637</v>
      </c>
      <c r="Q26" s="48">
        <f t="shared" si="3"/>
        <v>57367.453825511002</v>
      </c>
      <c r="T26" s="48">
        <f t="shared" si="15"/>
        <v>77.179297700278426</v>
      </c>
      <c r="U26" s="48">
        <f t="shared" si="4"/>
        <v>89.700002115172509</v>
      </c>
      <c r="V26" s="48">
        <f t="shared" si="5"/>
        <v>833.12070018454904</v>
      </c>
      <c r="X26" s="48">
        <f t="shared" si="6"/>
        <v>166.87929981545093</v>
      </c>
      <c r="Y26" s="48">
        <f t="shared" si="7"/>
        <v>140.59533440164387</v>
      </c>
      <c r="Z26" s="48">
        <f t="shared" si="8"/>
        <v>41.215607215435945</v>
      </c>
      <c r="AA26" s="48">
        <f t="shared" si="9"/>
        <v>34.724031593069427</v>
      </c>
      <c r="AC26" s="48">
        <f>(T26*(cAsymp+cDrug)+'Markov Model (2)'!U26*cProg)/((1+cDR)^ncycle)</f>
        <v>95054.375285114322</v>
      </c>
      <c r="AD26" s="44">
        <f t="shared" si="10"/>
        <v>4034.5378051862554</v>
      </c>
      <c r="AE26" s="48">
        <f t="shared" si="11"/>
        <v>99088.913090300572</v>
      </c>
    </row>
    <row r="27" spans="1:31" x14ac:dyDescent="0.2">
      <c r="A27">
        <v>25</v>
      </c>
      <c r="B27">
        <v>80</v>
      </c>
      <c r="C27" s="44">
        <v>9.1200000000000003E-2</v>
      </c>
      <c r="D27" s="62">
        <f t="shared" si="0"/>
        <v>8.1869083730840657</v>
      </c>
      <c r="E27" s="62">
        <f t="shared" si="12"/>
        <v>12.427001173473286</v>
      </c>
      <c r="F27" s="62">
        <f t="shared" si="1"/>
        <v>56.773635811195788</v>
      </c>
      <c r="G27" s="62">
        <f t="shared" si="13"/>
        <v>70.725995674522238</v>
      </c>
      <c r="H27" s="62">
        <f t="shared" si="2"/>
        <v>935.03945581572009</v>
      </c>
      <c r="I27" s="62">
        <f t="shared" si="14"/>
        <v>916.8470031520045</v>
      </c>
      <c r="J27" s="62">
        <f>D27+F27</f>
        <v>64.960544184279854</v>
      </c>
      <c r="K27" s="62">
        <f>D27*uAsymp+F27*uProg</f>
        <v>50.357789812826702</v>
      </c>
      <c r="L27" s="62">
        <f>(D27+F27)/((1+oDR)^ncycle)</f>
        <v>15.135717831724984</v>
      </c>
      <c r="M27" s="62">
        <f>(D27*uAsymp+F27*uProg)/((1+oDR)^ncycle)</f>
        <v>11.733296061591629</v>
      </c>
      <c r="N27" s="52"/>
      <c r="O27" s="48">
        <f>(D27*cAsymp+'Markov Model (2)'!F27*cProg)/((1+cDR)^ncycle)</f>
        <v>40638.307397701305</v>
      </c>
      <c r="P27" s="48">
        <f>(F26*tpDcm*cDeath)/((1+cDR)^(ncycle-1))</f>
        <v>2620.170561176908</v>
      </c>
      <c r="Q27" s="48">
        <f t="shared" si="3"/>
        <v>43258.477958878211</v>
      </c>
      <c r="T27" s="48">
        <f t="shared" si="15"/>
        <v>60.493133537478229</v>
      </c>
      <c r="U27" s="48">
        <f t="shared" si="4"/>
        <v>77.7117738175277</v>
      </c>
      <c r="V27" s="48">
        <f t="shared" si="5"/>
        <v>861.79509264499404</v>
      </c>
      <c r="X27" s="48">
        <f t="shared" si="6"/>
        <v>138.20490735500593</v>
      </c>
      <c r="Y27" s="48">
        <f t="shared" si="7"/>
        <v>115.75230722375008</v>
      </c>
      <c r="Z27" s="48">
        <f t="shared" si="8"/>
        <v>32.201554142634102</v>
      </c>
      <c r="AA27" s="48">
        <f t="shared" si="9"/>
        <v>26.970129060799909</v>
      </c>
      <c r="AC27" s="48">
        <f>(T27*(cAsymp+cDrug)+'Markov Model (2)'!U27*cProg)/((1+cDR)^ncycle)</f>
        <v>75462.436524219782</v>
      </c>
      <c r="AD27" s="44">
        <f t="shared" si="10"/>
        <v>3323.0964461960407</v>
      </c>
      <c r="AE27" s="48">
        <f t="shared" si="11"/>
        <v>78785.532970415821</v>
      </c>
    </row>
    <row r="28" spans="1:31" x14ac:dyDescent="0.2">
      <c r="A28">
        <v>26</v>
      </c>
      <c r="B28">
        <v>81</v>
      </c>
      <c r="C28" s="44">
        <v>9.1200000000000003E-2</v>
      </c>
      <c r="D28" s="62">
        <f t="shared" si="0"/>
        <v>5.3116661524569508</v>
      </c>
      <c r="E28" s="62">
        <f t="shared" si="12"/>
        <v>8.1869083730840657</v>
      </c>
      <c r="F28" s="62">
        <f t="shared" si="1"/>
        <v>45.20843103053722</v>
      </c>
      <c r="G28" s="62">
        <f t="shared" si="13"/>
        <v>56.773635811195788</v>
      </c>
      <c r="H28" s="62">
        <f t="shared" si="2"/>
        <v>949.47990281700584</v>
      </c>
      <c r="I28" s="62">
        <f t="shared" si="14"/>
        <v>935.03945581572009</v>
      </c>
      <c r="J28" s="62">
        <f>D28+F28</f>
        <v>50.520097182994171</v>
      </c>
      <c r="K28" s="62">
        <f>D28*uAsymp+F28*uProg</f>
        <v>38.95240611773702</v>
      </c>
      <c r="L28" s="62">
        <f>(D28+F28)/((1+oDR)^ncycle)</f>
        <v>11.104824015623903</v>
      </c>
      <c r="M28" s="62">
        <f>(D28*uAsymp+F28*uProg)/((1+oDR)^ncycle)</f>
        <v>8.5621295096832792</v>
      </c>
      <c r="N28" s="52"/>
      <c r="O28" s="48">
        <f>(D28*cAsymp+'Markov Model (2)'!F28*cProg)/((1+cDR)^ncycle)</f>
        <v>30395.578322304813</v>
      </c>
      <c r="P28" s="48">
        <f>(F27*tpDcm*cDeath)/((1+cDR)^(ncycle-1))</f>
        <v>1984.2269089103286</v>
      </c>
      <c r="Q28" s="48">
        <f t="shared" si="3"/>
        <v>32379.805231215141</v>
      </c>
      <c r="T28" s="48">
        <f t="shared" si="15"/>
        <v>47.112052398988112</v>
      </c>
      <c r="U28" s="48">
        <f t="shared" si="4"/>
        <v>66.831801332612187</v>
      </c>
      <c r="V28" s="48">
        <f t="shared" si="5"/>
        <v>886.05614626839974</v>
      </c>
      <c r="X28" s="48">
        <f t="shared" si="6"/>
        <v>113.9438537316003</v>
      </c>
      <c r="Y28" s="48">
        <f t="shared" si="7"/>
        <v>94.88030077849784</v>
      </c>
      <c r="Z28" s="48">
        <f t="shared" si="8"/>
        <v>25.046001767734928</v>
      </c>
      <c r="AA28" s="48">
        <f t="shared" si="9"/>
        <v>20.855641644516663</v>
      </c>
      <c r="AC28" s="48">
        <f>(T28*(cAsymp+cDrug)+'Markov Model (2)'!U28*cProg)/((1+cDR)^ncycle)</f>
        <v>59604.452912838766</v>
      </c>
      <c r="AD28" s="44">
        <f t="shared" si="10"/>
        <v>2716.0105310268632</v>
      </c>
      <c r="AE28" s="48">
        <f t="shared" si="11"/>
        <v>62320.463443865629</v>
      </c>
    </row>
    <row r="29" spans="1:31" x14ac:dyDescent="0.2">
      <c r="A29">
        <v>27</v>
      </c>
      <c r="B29">
        <v>82</v>
      </c>
      <c r="C29" s="44">
        <v>9.1200000000000003E-2</v>
      </c>
      <c r="D29" s="62">
        <f t="shared" si="0"/>
        <v>3.39309233818949</v>
      </c>
      <c r="E29" s="62">
        <f t="shared" si="12"/>
        <v>5.3116661524569508</v>
      </c>
      <c r="F29" s="62">
        <f t="shared" si="1"/>
        <v>35.738307327135018</v>
      </c>
      <c r="G29" s="62">
        <f t="shared" si="13"/>
        <v>45.20843103053722</v>
      </c>
      <c r="H29" s="62">
        <f t="shared" si="2"/>
        <v>960.86860033467553</v>
      </c>
      <c r="I29" s="62">
        <f t="shared" si="14"/>
        <v>949.47990281700584</v>
      </c>
      <c r="J29" s="62">
        <f>D29+F29</f>
        <v>39.131399665324508</v>
      </c>
      <c r="K29" s="62">
        <f>D29*uAsymp+F29*uProg</f>
        <v>30.027168216631278</v>
      </c>
      <c r="L29" s="62">
        <f>(D29+F29)/((1+oDR)^ncycle)</f>
        <v>8.1145981948390826</v>
      </c>
      <c r="M29" s="62">
        <f>(D29*uAsymp+F29*uProg)/((1+oDR)^ncycle)</f>
        <v>6.2266723677333369</v>
      </c>
      <c r="N29" s="52"/>
      <c r="O29" s="48">
        <f>(D29*cAsymp+'Markov Model (2)'!F29*cProg)/((1+cDR)^ncycle)</f>
        <v>22584.748064466941</v>
      </c>
      <c r="P29" s="48">
        <f>(F28*tpDcm*cDeath)/((1+cDR)^(ncycle-1))</f>
        <v>1490.5899788695717</v>
      </c>
      <c r="Q29" s="48">
        <f t="shared" si="3"/>
        <v>24075.338043336513</v>
      </c>
      <c r="T29" s="48">
        <f t="shared" si="15"/>
        <v>36.455306146336966</v>
      </c>
      <c r="U29" s="48">
        <f t="shared" si="4"/>
        <v>57.072097925049519</v>
      </c>
      <c r="V29" s="48">
        <f t="shared" si="5"/>
        <v>906.47259592861349</v>
      </c>
      <c r="X29" s="48">
        <f t="shared" si="6"/>
        <v>93.527404071386485</v>
      </c>
      <c r="Y29" s="48">
        <f t="shared" si="7"/>
        <v>77.436614282807255</v>
      </c>
      <c r="Z29" s="48">
        <f t="shared" si="8"/>
        <v>19.394586207918728</v>
      </c>
      <c r="AA29" s="48">
        <f t="shared" si="9"/>
        <v>16.057872088601336</v>
      </c>
      <c r="AC29" s="48">
        <f>(T29*(cAsymp+cDrug)+'Markov Model (2)'!U29*cProg)/((1+cDR)^ncycle)</f>
        <v>46844.265378789009</v>
      </c>
      <c r="AD29" s="44">
        <f t="shared" si="10"/>
        <v>2203.5450261236379</v>
      </c>
      <c r="AE29" s="48">
        <f t="shared" si="11"/>
        <v>49047.810404912649</v>
      </c>
    </row>
    <row r="30" spans="1:31" x14ac:dyDescent="0.2">
      <c r="A30">
        <v>28</v>
      </c>
      <c r="B30">
        <v>83</v>
      </c>
      <c r="C30" s="44">
        <v>9.1200000000000003E-2</v>
      </c>
      <c r="D30" s="62">
        <f t="shared" si="0"/>
        <v>2.1335764622534725</v>
      </c>
      <c r="E30" s="62">
        <f t="shared" si="12"/>
        <v>3.39309233818949</v>
      </c>
      <c r="F30" s="62">
        <f t="shared" si="1"/>
        <v>28.068293454523108</v>
      </c>
      <c r="G30" s="62">
        <f t="shared" si="13"/>
        <v>35.738307327135018</v>
      </c>
      <c r="H30" s="62">
        <f t="shared" si="2"/>
        <v>969.79813008322344</v>
      </c>
      <c r="I30" s="62">
        <f t="shared" si="14"/>
        <v>960.86860033467553</v>
      </c>
      <c r="J30" s="62">
        <f>D30+F30</f>
        <v>30.20186991677658</v>
      </c>
      <c r="K30" s="62">
        <f>D30*uAsymp+F30*uProg</f>
        <v>23.078117730033128</v>
      </c>
      <c r="L30" s="62">
        <f>(D30+F30)/((1+oDR)^ncycle)</f>
        <v>5.9083961334404691</v>
      </c>
      <c r="M30" s="62">
        <f>(D30*uAsymp+F30*uProg)/((1+oDR)^ncycle)</f>
        <v>4.5147754738016799</v>
      </c>
      <c r="N30" s="52"/>
      <c r="O30" s="48">
        <f>(D30*cAsymp+'Markov Model (2)'!F30*cProg)/((1+cDR)^ncycle)</f>
        <v>16681.70872880481</v>
      </c>
      <c r="P30" s="48">
        <f>(F29*tpDcm*cDeath)/((1+cDR)^(ncycle-1))</f>
        <v>1111.6469380228436</v>
      </c>
      <c r="Q30" s="48">
        <f t="shared" si="3"/>
        <v>17793.355666827654</v>
      </c>
      <c r="T30" s="48">
        <f t="shared" si="15"/>
        <v>28.026839365303886</v>
      </c>
      <c r="U30" s="48">
        <f t="shared" si="4"/>
        <v>48.410050766014741</v>
      </c>
      <c r="V30" s="48">
        <f t="shared" si="5"/>
        <v>923.56310986868141</v>
      </c>
      <c r="X30" s="48">
        <f t="shared" si="6"/>
        <v>76.43689013131862</v>
      </c>
      <c r="Y30" s="48">
        <f t="shared" si="7"/>
        <v>62.933035471549744</v>
      </c>
      <c r="Z30" s="48">
        <f t="shared" si="8"/>
        <v>14.953359753835331</v>
      </c>
      <c r="AA30" s="48">
        <f t="shared" si="9"/>
        <v>12.31159873446213</v>
      </c>
      <c r="AC30" s="48">
        <f>(T30*(cAsymp+cDrug)+'Markov Model (2)'!U30*cProg)/((1+cDR)^ncycle)</f>
        <v>36635.737368363756</v>
      </c>
      <c r="AD30" s="44">
        <f t="shared" si="10"/>
        <v>1775.2386066910915</v>
      </c>
      <c r="AE30" s="48">
        <f t="shared" si="11"/>
        <v>38410.975975054847</v>
      </c>
    </row>
    <row r="31" spans="1:31" x14ac:dyDescent="0.2">
      <c r="A31">
        <v>29</v>
      </c>
      <c r="B31">
        <v>84</v>
      </c>
      <c r="C31" s="44">
        <v>9.1200000000000003E-2</v>
      </c>
      <c r="D31" s="62">
        <f t="shared" si="0"/>
        <v>1.320257114842434</v>
      </c>
      <c r="E31" s="62">
        <f t="shared" si="12"/>
        <v>2.1335764622534725</v>
      </c>
      <c r="F31" s="62">
        <f t="shared" si="1"/>
        <v>21.91695824734564</v>
      </c>
      <c r="G31" s="62">
        <f t="shared" si="13"/>
        <v>28.068293454523108</v>
      </c>
      <c r="H31" s="62">
        <f t="shared" si="2"/>
        <v>976.76278463781193</v>
      </c>
      <c r="I31" s="62">
        <f t="shared" si="14"/>
        <v>969.79813008322344</v>
      </c>
      <c r="J31" s="62">
        <f>D31+F31</f>
        <v>23.237215362188074</v>
      </c>
      <c r="K31" s="62">
        <f>D31*uAsymp+F31*uProg</f>
        <v>17.691962944609543</v>
      </c>
      <c r="L31" s="62">
        <f>(D31+F31)/((1+oDR)^ncycle)</f>
        <v>4.2885846852317178</v>
      </c>
      <c r="M31" s="62">
        <f>(D31*uAsymp+F31*uProg)/((1+oDR)^ncycle)</f>
        <v>3.2651709834131819</v>
      </c>
      <c r="N31" s="52"/>
      <c r="O31" s="48">
        <f>(D31*cAsymp+'Markov Model (2)'!F31*cProg)/((1+cDR)^ncycle)</f>
        <v>12256.598187077736</v>
      </c>
      <c r="P31" s="48">
        <f>(F30*tpDcm*cDeath)/((1+cDR)^(ncycle-1))</f>
        <v>823.65063972507448</v>
      </c>
      <c r="Q31" s="48">
        <f t="shared" si="3"/>
        <v>13080.24882680281</v>
      </c>
      <c r="T31" s="48">
        <f t="shared" si="15"/>
        <v>21.406899907219099</v>
      </c>
      <c r="U31" s="48">
        <f t="shared" si="4"/>
        <v>40.797438229221044</v>
      </c>
      <c r="V31" s="48">
        <f t="shared" si="5"/>
        <v>937.79566186355987</v>
      </c>
      <c r="X31" s="48">
        <f t="shared" si="6"/>
        <v>62.204338136440143</v>
      </c>
      <c r="Y31" s="48">
        <f t="shared" si="7"/>
        <v>50.93463358377393</v>
      </c>
      <c r="Z31" s="48">
        <f t="shared" si="8"/>
        <v>11.48022978351365</v>
      </c>
      <c r="AA31" s="48">
        <f t="shared" si="9"/>
        <v>9.4003298644254318</v>
      </c>
      <c r="AC31" s="48">
        <f>(T31*(cAsymp+cDrug)+'Markov Model (2)'!U31*cProg)/((1+cDR)^ncycle)</f>
        <v>28514.507899614506</v>
      </c>
      <c r="AD31" s="44">
        <f t="shared" si="10"/>
        <v>1420.5697737610758</v>
      </c>
      <c r="AE31" s="48">
        <f t="shared" si="11"/>
        <v>29935.077673375581</v>
      </c>
    </row>
    <row r="32" spans="1:31" x14ac:dyDescent="0.2">
      <c r="A32">
        <v>30</v>
      </c>
      <c r="B32">
        <v>85</v>
      </c>
      <c r="C32" s="44">
        <v>9.1200000000000003E-2</v>
      </c>
      <c r="D32" s="62">
        <f t="shared" si="0"/>
        <v>0.8037725315160742</v>
      </c>
      <c r="E32" s="62">
        <f t="shared" si="12"/>
        <v>1.320257114842434</v>
      </c>
      <c r="F32" s="62">
        <f t="shared" si="1"/>
        <v>17.026665052538601</v>
      </c>
      <c r="G32" s="62">
        <f t="shared" si="13"/>
        <v>21.91695824734564</v>
      </c>
      <c r="H32" s="62">
        <f t="shared" si="2"/>
        <v>982.16956241594528</v>
      </c>
      <c r="I32" s="62">
        <f t="shared" si="14"/>
        <v>976.76278463781193</v>
      </c>
      <c r="J32" s="62">
        <f>D32+F32</f>
        <v>17.830437584054675</v>
      </c>
      <c r="K32" s="62">
        <f>D32*uAsymp+F32*uProg</f>
        <v>13.53358269434422</v>
      </c>
      <c r="L32" s="62">
        <f>(D32+F32)/((1+oDR)^ncycle)</f>
        <v>3.104459821953653</v>
      </c>
      <c r="M32" s="62">
        <f>(D32*uAsymp+F32*uProg)/((1+oDR)^ncycle)</f>
        <v>2.3563338546021666</v>
      </c>
      <c r="N32" s="52"/>
      <c r="O32" s="48">
        <f>(D32*cAsymp+'Markov Model (2)'!F32*cProg)/((1+cDR)^ncycle)</f>
        <v>8963.5171141493702</v>
      </c>
      <c r="P32" s="48">
        <f>(F31*tpDcm*cDeath)/((1+cDR)^(ncycle-1))</f>
        <v>606.73835066771255</v>
      </c>
      <c r="Q32" s="48">
        <f t="shared" si="3"/>
        <v>9570.2554648170826</v>
      </c>
      <c r="T32" s="48">
        <f t="shared" si="15"/>
        <v>16.243555649597852</v>
      </c>
      <c r="U32" s="48">
        <f t="shared" si="4"/>
        <v>34.168131114415786</v>
      </c>
      <c r="V32" s="48">
        <f t="shared" si="5"/>
        <v>949.58831323598633</v>
      </c>
      <c r="X32" s="48">
        <f t="shared" si="6"/>
        <v>50.411686764013638</v>
      </c>
      <c r="Y32" s="48">
        <f t="shared" si="7"/>
        <v>41.057476202929799</v>
      </c>
      <c r="Z32" s="48">
        <f t="shared" si="8"/>
        <v>8.7771853819083034</v>
      </c>
      <c r="AA32" s="48">
        <f t="shared" si="9"/>
        <v>7.1485225565523587</v>
      </c>
      <c r="AC32" s="48">
        <f>(T32*(cAsymp+cDrug)+'Markov Model (2)'!U32*cProg)/((1+cDR)^ncycle)</f>
        <v>22089.304744816429</v>
      </c>
      <c r="AD32" s="44">
        <f t="shared" si="10"/>
        <v>1129.4163224344024</v>
      </c>
      <c r="AE32" s="48">
        <f t="shared" si="11"/>
        <v>23218.72106725083</v>
      </c>
    </row>
    <row r="33" spans="1:31" x14ac:dyDescent="0.2">
      <c r="A33">
        <v>31</v>
      </c>
      <c r="B33">
        <v>86</v>
      </c>
      <c r="C33" s="44">
        <v>0.1958</v>
      </c>
      <c r="D33" s="62">
        <f t="shared" si="0"/>
        <v>0.39722438507533298</v>
      </c>
      <c r="E33" s="62">
        <f t="shared" si="12"/>
        <v>0.8037725315160742</v>
      </c>
      <c r="F33" s="62">
        <f t="shared" si="1"/>
        <v>11.388013762140735</v>
      </c>
      <c r="G33" s="62">
        <f t="shared" si="13"/>
        <v>17.026665052538601</v>
      </c>
      <c r="H33" s="62">
        <f t="shared" si="2"/>
        <v>988.21476185278391</v>
      </c>
      <c r="I33" s="62">
        <f t="shared" si="14"/>
        <v>982.16956241594528</v>
      </c>
      <c r="J33" s="62">
        <f>D33+F33</f>
        <v>11.785238147216068</v>
      </c>
      <c r="K33" s="62">
        <f>D33*uAsymp+F33*uProg</f>
        <v>8.9183734874271181</v>
      </c>
      <c r="L33" s="62">
        <f>(D33+F33)/((1+oDR)^ncycle)</f>
        <v>1.9357824119101794</v>
      </c>
      <c r="M33" s="62">
        <f>(D33*uAsymp+F33*uProg)/((1+oDR)^ncycle)</f>
        <v>1.4648860145338349</v>
      </c>
      <c r="N33" s="52"/>
      <c r="O33" s="48">
        <f>(D33*cAsymp+'Markov Model (2)'!F33*cProg)/((1+cDR)^ncycle)</f>
        <v>5644.2321657155326</v>
      </c>
      <c r="P33" s="48">
        <f>(F32*tpDcm*cDeath)/((1+cDR)^(ncycle-1))</f>
        <v>444.67723219035253</v>
      </c>
      <c r="Q33" s="48">
        <f t="shared" si="3"/>
        <v>6088.9093979058853</v>
      </c>
      <c r="T33" s="48">
        <f t="shared" si="15"/>
        <v>10.545316327718979</v>
      </c>
      <c r="U33" s="48">
        <f t="shared" si="4"/>
        <v>24.870542500738473</v>
      </c>
      <c r="V33" s="48">
        <f t="shared" si="5"/>
        <v>964.58414117154257</v>
      </c>
      <c r="X33" s="48">
        <f t="shared" si="6"/>
        <v>35.415858828457452</v>
      </c>
      <c r="Y33" s="48">
        <f t="shared" si="7"/>
        <v>28.670957386886883</v>
      </c>
      <c r="Z33" s="48">
        <f t="shared" si="8"/>
        <v>5.8172262423917624</v>
      </c>
      <c r="AA33" s="48">
        <f t="shared" si="9"/>
        <v>4.7093435320415953</v>
      </c>
      <c r="AC33" s="48">
        <f>(T33*(cAsymp+cDrug)+'Markov Model (2)'!U33*cProg)/((1+cDR)^ncycle)</f>
        <v>14853.499850316985</v>
      </c>
      <c r="AD33" s="44">
        <f t="shared" si="10"/>
        <v>892.35266719539732</v>
      </c>
      <c r="AE33" s="48">
        <f t="shared" si="11"/>
        <v>15745.852517512381</v>
      </c>
    </row>
    <row r="34" spans="1:31" x14ac:dyDescent="0.2">
      <c r="A34">
        <v>32</v>
      </c>
      <c r="B34">
        <v>87</v>
      </c>
      <c r="C34" s="44">
        <v>0.1958</v>
      </c>
      <c r="D34" s="62">
        <f t="shared" si="0"/>
        <v>0.1923360472535478</v>
      </c>
      <c r="E34" s="62">
        <f t="shared" si="12"/>
        <v>0.39722438507533298</v>
      </c>
      <c r="F34" s="62">
        <f t="shared" si="1"/>
        <v>7.5771504064165764</v>
      </c>
      <c r="G34" s="62">
        <f t="shared" si="13"/>
        <v>11.388013762140735</v>
      </c>
      <c r="H34" s="62">
        <f t="shared" si="2"/>
        <v>992.23051354632992</v>
      </c>
      <c r="I34" s="62">
        <f t="shared" si="14"/>
        <v>988.21476185278391</v>
      </c>
      <c r="J34" s="62">
        <f>D34+F34</f>
        <v>7.7694864536701242</v>
      </c>
      <c r="K34" s="62">
        <f>D34*uAsymp+F34*uProg</f>
        <v>5.8655820497033027</v>
      </c>
      <c r="L34" s="62">
        <f>(D34+F34)/((1+oDR)^ncycle)</f>
        <v>1.2039393944080679</v>
      </c>
      <c r="M34" s="62">
        <f>(D34*uAsymp+F34*uProg)/((1+oDR)^ncycle)</f>
        <v>0.90891532444011081</v>
      </c>
      <c r="N34" s="52"/>
      <c r="O34" s="48">
        <f>(D34*cAsymp+'Markov Model (2)'!F34*cProg)/((1+cDR)^ncycle)</f>
        <v>3537.308450298453</v>
      </c>
      <c r="P34" s="48">
        <f>(F33*tpDcm*cDeath)/((1+cDR)^(ncycle-1))</f>
        <v>280.5804575856265</v>
      </c>
      <c r="Q34" s="48">
        <f t="shared" si="3"/>
        <v>3817.8889078840793</v>
      </c>
      <c r="T34" s="48">
        <f t="shared" si="15"/>
        <v>6.7932927783165269</v>
      </c>
      <c r="U34" s="48">
        <f t="shared" si="4"/>
        <v>17.957559516418147</v>
      </c>
      <c r="V34" s="48">
        <f t="shared" si="5"/>
        <v>975.24914770526527</v>
      </c>
      <c r="X34" s="48">
        <f t="shared" si="6"/>
        <v>24.750852294734674</v>
      </c>
      <c r="Y34" s="48">
        <f t="shared" si="7"/>
        <v>19.92179777671431</v>
      </c>
      <c r="Z34" s="48">
        <f t="shared" si="8"/>
        <v>3.8353276372250149</v>
      </c>
      <c r="AA34" s="48">
        <f t="shared" si="9"/>
        <v>3.0870299206825482</v>
      </c>
      <c r="AC34" s="48">
        <f>(T34*(cAsymp+cDrug)+'Markov Model (2)'!U34*cProg)/((1+cDR)^ncycle)</f>
        <v>9926.97646594664</v>
      </c>
      <c r="AD34" s="44">
        <f t="shared" si="10"/>
        <v>612.76604867293418</v>
      </c>
      <c r="AE34" s="48">
        <f t="shared" si="11"/>
        <v>10539.742514619575</v>
      </c>
    </row>
    <row r="35" spans="1:31" x14ac:dyDescent="0.2">
      <c r="A35">
        <v>33</v>
      </c>
      <c r="B35">
        <v>88</v>
      </c>
      <c r="C35" s="44">
        <v>0.1958</v>
      </c>
      <c r="D35" s="62">
        <f t="shared" si="0"/>
        <v>9.1205753607596307E-2</v>
      </c>
      <c r="E35" s="62">
        <f t="shared" si="12"/>
        <v>0.1923360472535478</v>
      </c>
      <c r="F35" s="62">
        <f t="shared" si="1"/>
        <v>5.0204426914713949</v>
      </c>
      <c r="G35" s="62">
        <f t="shared" si="13"/>
        <v>7.5771504064165764</v>
      </c>
      <c r="H35" s="62">
        <f t="shared" si="2"/>
        <v>994.88835155492097</v>
      </c>
      <c r="I35" s="62">
        <f t="shared" si="14"/>
        <v>992.23051354632992</v>
      </c>
      <c r="J35" s="62">
        <f>D35+F35</f>
        <v>5.1116484450789912</v>
      </c>
      <c r="K35" s="62">
        <f>D35*uAsymp+F35*uProg</f>
        <v>3.8519774845307628</v>
      </c>
      <c r="L35" s="62">
        <f>(D35+F35)/((1+oDR)^ncycle)</f>
        <v>0.74725258094084657</v>
      </c>
      <c r="M35" s="62">
        <f>(D35*uAsymp+F35*uProg)/((1+oDR)^ncycle)</f>
        <v>0.56310604063796521</v>
      </c>
      <c r="N35" s="52"/>
      <c r="O35" s="48">
        <f>(D35*cAsymp+'Markov Model (2)'!F35*cProg)/((1+cDR)^ncycle)</f>
        <v>2208.4251811684107</v>
      </c>
      <c r="P35" s="48">
        <f>(F34*tpDcm*cDeath)/((1+cDR)^(ncycle-1))</f>
        <v>176.12032518566517</v>
      </c>
      <c r="Q35" s="48">
        <f t="shared" si="3"/>
        <v>2384.5455063540758</v>
      </c>
      <c r="T35" s="48">
        <f t="shared" si="15"/>
        <v>4.3422727438999118</v>
      </c>
      <c r="U35" s="48">
        <f t="shared" si="4"/>
        <v>12.868728744062979</v>
      </c>
      <c r="V35" s="48">
        <f t="shared" si="5"/>
        <v>982.7889985120371</v>
      </c>
      <c r="X35" s="48">
        <f t="shared" si="6"/>
        <v>17.211001487962889</v>
      </c>
      <c r="Y35" s="48">
        <f t="shared" si="7"/>
        <v>13.77670566475215</v>
      </c>
      <c r="Z35" s="48">
        <f t="shared" si="8"/>
        <v>2.516011306457965</v>
      </c>
      <c r="AA35" s="48">
        <f t="shared" si="9"/>
        <v>2.0139645704232971</v>
      </c>
      <c r="AC35" s="48">
        <f>(T35*(cAsymp+cDrug)+'Markov Model (2)'!U35*cProg)/((1+cDR)^ncycle)</f>
        <v>6595.8632400252236</v>
      </c>
      <c r="AD35" s="44">
        <f t="shared" si="10"/>
        <v>417.39850101091179</v>
      </c>
      <c r="AE35" s="48">
        <f t="shared" si="11"/>
        <v>7013.2617410361354</v>
      </c>
    </row>
    <row r="36" spans="1:31" x14ac:dyDescent="0.2">
      <c r="A36">
        <v>34</v>
      </c>
      <c r="B36">
        <v>89</v>
      </c>
      <c r="C36" s="44">
        <v>0.1958</v>
      </c>
      <c r="D36" s="62">
        <f t="shared" si="0"/>
        <v>4.2337710824654096E-2</v>
      </c>
      <c r="E36" s="62">
        <f t="shared" si="12"/>
        <v>9.1205753607596307E-2</v>
      </c>
      <c r="F36" s="62">
        <f t="shared" si="1"/>
        <v>3.3153835649871692</v>
      </c>
      <c r="G36" s="62">
        <f t="shared" si="13"/>
        <v>5.0204426914713949</v>
      </c>
      <c r="H36" s="62">
        <f t="shared" si="2"/>
        <v>996.64227872418815</v>
      </c>
      <c r="I36" s="62">
        <f t="shared" si="14"/>
        <v>994.88835155492097</v>
      </c>
      <c r="J36" s="62">
        <f>D36+F36</f>
        <v>3.3577212758118233</v>
      </c>
      <c r="K36" s="62">
        <f>D36*uAsymp+F36*uProg</f>
        <v>2.5267584990237983</v>
      </c>
      <c r="L36" s="62">
        <f>(D36+F36)/((1+oDR)^ncycle)</f>
        <v>0.46306848316108551</v>
      </c>
      <c r="M36" s="62">
        <f>(D36*uAsymp+F36*uProg)/((1+oDR)^ncycle)</f>
        <v>0.34846913407797259</v>
      </c>
      <c r="N36" s="52"/>
      <c r="O36" s="48">
        <f>(D36*cAsymp+'Markov Model (2)'!F36*cProg)/((1+cDR)^ncycle)</f>
        <v>1374.6083031437756</v>
      </c>
      <c r="P36" s="48">
        <f>(F35*tpDcm*cDeath)/((1+cDR)^(ncycle-1))</f>
        <v>110.08793344187923</v>
      </c>
      <c r="Q36" s="48">
        <f t="shared" si="3"/>
        <v>1484.6962365856548</v>
      </c>
      <c r="T36" s="48">
        <f t="shared" si="15"/>
        <v>2.7538693741813631</v>
      </c>
      <c r="U36" s="48">
        <f t="shared" si="4"/>
        <v>9.1569087108289864</v>
      </c>
      <c r="V36" s="48">
        <f t="shared" si="5"/>
        <v>988.08922191498971</v>
      </c>
      <c r="X36" s="48">
        <f t="shared" si="6"/>
        <v>11.91077808501035</v>
      </c>
      <c r="Y36" s="48">
        <f t="shared" si="7"/>
        <v>9.4838574385940344</v>
      </c>
      <c r="Z36" s="48">
        <f t="shared" si="8"/>
        <v>1.6426336458676167</v>
      </c>
      <c r="AA36" s="48">
        <f t="shared" si="9"/>
        <v>1.3079333029344153</v>
      </c>
      <c r="AC36" s="48">
        <f>(T36*(cAsymp+cDrug)+'Markov Model (2)'!U36*cProg)/((1+cDR)^ncycle)</f>
        <v>4358.2154236000797</v>
      </c>
      <c r="AD36" s="44">
        <f t="shared" si="10"/>
        <v>282.18462803382749</v>
      </c>
      <c r="AE36" s="48">
        <f t="shared" si="11"/>
        <v>4640.4000516339074</v>
      </c>
    </row>
    <row r="37" spans="1:31" x14ac:dyDescent="0.2">
      <c r="A37">
        <v>35</v>
      </c>
      <c r="B37">
        <v>90</v>
      </c>
      <c r="C37" s="44">
        <v>0.1958</v>
      </c>
      <c r="D37" s="62">
        <f t="shared" si="0"/>
        <v>1.9229788256552638E-2</v>
      </c>
      <c r="E37" s="62">
        <f t="shared" si="12"/>
        <v>4.2337710824654096E-2</v>
      </c>
      <c r="F37" s="62">
        <f t="shared" si="1"/>
        <v>2.1837421270032351</v>
      </c>
      <c r="G37" s="62">
        <f t="shared" si="13"/>
        <v>3.3153835649871692</v>
      </c>
      <c r="H37" s="62">
        <f t="shared" si="2"/>
        <v>997.79702808474019</v>
      </c>
      <c r="I37" s="62">
        <f t="shared" si="14"/>
        <v>996.64227872418815</v>
      </c>
      <c r="J37" s="62">
        <f>D37+F37</f>
        <v>2.2029719152597877</v>
      </c>
      <c r="K37" s="62">
        <f>D37*uAsymp+F37*uProg</f>
        <v>1.6560748940961514</v>
      </c>
      <c r="L37" s="62">
        <f>(D37+F37)/((1+oDR)^ncycle)</f>
        <v>0.28661814194750018</v>
      </c>
      <c r="M37" s="62">
        <f>(D37*uAsymp+F37*uProg)/((1+oDR)^ncycle)</f>
        <v>0.21546398562042821</v>
      </c>
      <c r="N37" s="52"/>
      <c r="O37" s="48">
        <f>(D37*cAsymp+'Markov Model (2)'!F37*cProg)/((1+cDR)^ncycle)</f>
        <v>853.59968634496261</v>
      </c>
      <c r="P37" s="48">
        <f>(F36*tpDcm*cDeath)/((1+cDR)^(ncycle-1))</f>
        <v>68.584443693793986</v>
      </c>
      <c r="Q37" s="48">
        <f t="shared" si="3"/>
        <v>922.18413003875662</v>
      </c>
      <c r="T37" s="48">
        <f t="shared" si="15"/>
        <v>1.7327346102348429</v>
      </c>
      <c r="U37" s="48">
        <f t="shared" si="4"/>
        <v>6.4723768191060618</v>
      </c>
      <c r="V37" s="48">
        <f t="shared" si="5"/>
        <v>991.79488857065905</v>
      </c>
      <c r="X37" s="48">
        <f t="shared" si="6"/>
        <v>8.2051114293409046</v>
      </c>
      <c r="Y37" s="48">
        <f t="shared" si="7"/>
        <v>6.5003804940526475</v>
      </c>
      <c r="Z37" s="48">
        <f t="shared" si="8"/>
        <v>1.0675278137045869</v>
      </c>
      <c r="AA37" s="48">
        <f t="shared" si="9"/>
        <v>0.84573342322316081</v>
      </c>
      <c r="AC37" s="48">
        <f>(T37*(cAsymp+cDrug)+'Markov Model (2)'!U37*cProg)/((1+cDR)^ncycle)</f>
        <v>2864.4267190283563</v>
      </c>
      <c r="AD37" s="44">
        <f t="shared" si="10"/>
        <v>189.42649547986548</v>
      </c>
      <c r="AE37" s="48">
        <f t="shared" si="11"/>
        <v>3053.8532145082218</v>
      </c>
    </row>
    <row r="38" spans="1:31" x14ac:dyDescent="0.2">
      <c r="A38">
        <v>36</v>
      </c>
      <c r="B38">
        <v>91</v>
      </c>
      <c r="C38" s="44">
        <v>0.1958</v>
      </c>
      <c r="D38" s="62">
        <f t="shared" si="0"/>
        <v>8.5418719436347601E-3</v>
      </c>
      <c r="E38" s="62">
        <f t="shared" si="12"/>
        <v>1.9229788256552638E-2</v>
      </c>
      <c r="F38" s="62">
        <f t="shared" si="1"/>
        <v>1.4355268232578755</v>
      </c>
      <c r="G38" s="62">
        <f t="shared" si="13"/>
        <v>2.1837421270032351</v>
      </c>
      <c r="H38" s="62">
        <f t="shared" si="2"/>
        <v>998.55593130479849</v>
      </c>
      <c r="I38" s="62">
        <f t="shared" si="14"/>
        <v>997.79702808474019</v>
      </c>
      <c r="J38" s="62">
        <f>D38+F38</f>
        <v>1.4440686952015103</v>
      </c>
      <c r="K38" s="62">
        <f>D38*uAsymp+F38*uProg</f>
        <v>1.0847598957898597</v>
      </c>
      <c r="L38" s="62">
        <f>(D38+F38)/((1+oDR)^ncycle)</f>
        <v>0.1772461064452043</v>
      </c>
      <c r="M38" s="62">
        <f>(D38*uAsymp+F38*uProg)/((1+oDR)^ncycle)</f>
        <v>0.1331442670252112</v>
      </c>
      <c r="N38" s="52"/>
      <c r="O38" s="48">
        <f>(D38*cAsymp+'Markov Model (2)'!F38*cProg)/((1+cDR)^ncycle)</f>
        <v>529.11722944426344</v>
      </c>
      <c r="P38" s="48">
        <f>(F37*tpDcm*cDeath)/((1+cDR)^(ncycle-1))</f>
        <v>42.617436922272745</v>
      </c>
      <c r="Q38" s="48">
        <f t="shared" si="3"/>
        <v>571.7346663665362</v>
      </c>
      <c r="T38" s="48">
        <f t="shared" si="15"/>
        <v>1.0815729437085793</v>
      </c>
      <c r="U38" s="48">
        <f t="shared" si="4"/>
        <v>4.5461211449014574</v>
      </c>
      <c r="V38" s="48">
        <f t="shared" si="5"/>
        <v>994.37230591138996</v>
      </c>
      <c r="X38" s="48">
        <f t="shared" si="6"/>
        <v>5.6276940886100366</v>
      </c>
      <c r="Y38" s="48">
        <f t="shared" si="7"/>
        <v>4.4370851551992434</v>
      </c>
      <c r="Z38" s="48">
        <f t="shared" si="8"/>
        <v>0.69074751691894332</v>
      </c>
      <c r="AA38" s="48">
        <f t="shared" si="9"/>
        <v>0.54461125730250404</v>
      </c>
      <c r="AC38" s="48">
        <f>(T38*(cAsymp+cDrug)+'Markov Model (2)'!U38*cProg)/((1+cDR)^ncycle)</f>
        <v>1873.1129036571058</v>
      </c>
      <c r="AD38" s="44">
        <f t="shared" si="10"/>
        <v>126.31349984714758</v>
      </c>
      <c r="AE38" s="48">
        <f t="shared" si="11"/>
        <v>1999.4264035042534</v>
      </c>
    </row>
    <row r="39" spans="1:31" x14ac:dyDescent="0.2">
      <c r="A39">
        <v>37</v>
      </c>
      <c r="B39">
        <v>92</v>
      </c>
      <c r="C39" s="44">
        <v>0.1958</v>
      </c>
      <c r="D39" s="62">
        <f t="shared" si="0"/>
        <v>3.7088807978307159E-3</v>
      </c>
      <c r="E39" s="62">
        <f t="shared" si="12"/>
        <v>8.5418719436347601E-3</v>
      </c>
      <c r="F39" s="62">
        <f t="shared" si="1"/>
        <v>0.94228214039444702</v>
      </c>
      <c r="G39" s="62">
        <f t="shared" si="13"/>
        <v>1.4355268232578755</v>
      </c>
      <c r="H39" s="62">
        <f t="shared" si="2"/>
        <v>999.0540089788077</v>
      </c>
      <c r="I39" s="62">
        <f t="shared" si="14"/>
        <v>998.55593130479849</v>
      </c>
      <c r="J39" s="62">
        <f>D39+F39</f>
        <v>0.94599102119227774</v>
      </c>
      <c r="K39" s="62">
        <f>D39*uAsymp+F39*uProg</f>
        <v>0.71023504205377452</v>
      </c>
      <c r="L39" s="62">
        <f>(D39+F39)/((1+oDR)^ncycle)</f>
        <v>0.10953930965086972</v>
      </c>
      <c r="M39" s="62">
        <f>(D39*uAsymp+F39*uProg)/((1+oDR)^ncycle)</f>
        <v>8.2240374859344351E-2</v>
      </c>
      <c r="N39" s="52"/>
      <c r="O39" s="48">
        <f>(D39*cAsymp+'Markov Model (2)'!F39*cProg)/((1+cDR)^ncycle)</f>
        <v>327.54427118770855</v>
      </c>
      <c r="P39" s="48">
        <f>(F38*tpDcm*cDeath)/((1+cDR)^(ncycle-1))</f>
        <v>26.429650573299675</v>
      </c>
      <c r="Q39" s="48">
        <f t="shared" si="3"/>
        <v>353.97392176100823</v>
      </c>
      <c r="T39" s="48">
        <f t="shared" si="15"/>
        <v>0.66970996674433536</v>
      </c>
      <c r="U39" s="48">
        <f t="shared" si="4"/>
        <v>3.1741634475806206</v>
      </c>
      <c r="V39" s="48">
        <f t="shared" si="5"/>
        <v>996.156126585675</v>
      </c>
      <c r="X39" s="48">
        <f t="shared" si="6"/>
        <v>3.843873414324956</v>
      </c>
      <c r="Y39" s="48">
        <f t="shared" si="7"/>
        <v>3.016847054092584</v>
      </c>
      <c r="Z39" s="48">
        <f t="shared" si="8"/>
        <v>0.44509433045126701</v>
      </c>
      <c r="AA39" s="48">
        <f t="shared" si="9"/>
        <v>0.34933031733331138</v>
      </c>
      <c r="AC39" s="48">
        <f>(T39*(cAsymp+cDrug)+'Markov Model (2)'!U39*cProg)/((1+cDR)^ncycle)</f>
        <v>1218.9612201423424</v>
      </c>
      <c r="AD39" s="44">
        <f t="shared" si="10"/>
        <v>83.699162827869088</v>
      </c>
      <c r="AE39" s="48">
        <f t="shared" si="11"/>
        <v>1302.6603829702115</v>
      </c>
    </row>
    <row r="40" spans="1:31" x14ac:dyDescent="0.2">
      <c r="A40">
        <v>38</v>
      </c>
      <c r="B40">
        <v>93</v>
      </c>
      <c r="C40" s="44">
        <v>0.1958</v>
      </c>
      <c r="D40" s="62">
        <f t="shared" si="0"/>
        <v>1.5733072344801258E-3</v>
      </c>
      <c r="E40" s="62">
        <f t="shared" si="12"/>
        <v>3.7088807978307159E-3</v>
      </c>
      <c r="F40" s="62">
        <f t="shared" si="1"/>
        <v>0.61785035094922292</v>
      </c>
      <c r="G40" s="62">
        <f t="shared" si="13"/>
        <v>0.94228214039444702</v>
      </c>
      <c r="H40" s="62">
        <f t="shared" si="2"/>
        <v>999.38057634181632</v>
      </c>
      <c r="I40" s="62">
        <f t="shared" si="14"/>
        <v>999.0540089788077</v>
      </c>
      <c r="J40" s="62">
        <f>D40+F40</f>
        <v>0.61942365818370304</v>
      </c>
      <c r="K40" s="62">
        <f>D40*uAsymp+F40*uProg</f>
        <v>0.46488240508467332</v>
      </c>
      <c r="L40" s="62">
        <f>(D40+F40)/((1+oDR)^ncycle)</f>
        <v>6.7665128150469503E-2</v>
      </c>
      <c r="M40" s="62">
        <f>(D40*uAsymp+F40*uProg)/((1+oDR)^ncycle)</f>
        <v>5.0783219367484769E-2</v>
      </c>
      <c r="N40" s="52"/>
      <c r="O40" s="48">
        <f>(D40*cAsymp+'Markov Model (2)'!F40*cProg)/((1+cDR)^ncycle)</f>
        <v>202.56571876850043</v>
      </c>
      <c r="P40" s="48">
        <f>(F39*tpDcm*cDeath)/((1+cDR)^(ncycle-1))</f>
        <v>16.366476981736422</v>
      </c>
      <c r="Q40" s="48">
        <f t="shared" si="3"/>
        <v>218.93219575023684</v>
      </c>
      <c r="T40" s="48">
        <f t="shared" si="15"/>
        <v>0.41133586157445734</v>
      </c>
      <c r="U40" s="48">
        <f t="shared" si="4"/>
        <v>2.2037826210886657</v>
      </c>
      <c r="V40" s="48">
        <f t="shared" si="5"/>
        <v>997.38488151733691</v>
      </c>
      <c r="X40" s="48">
        <f t="shared" si="6"/>
        <v>2.6151184826631231</v>
      </c>
      <c r="Y40" s="48">
        <f t="shared" si="7"/>
        <v>2.043606034312234</v>
      </c>
      <c r="Z40" s="48">
        <f t="shared" si="8"/>
        <v>0.28567253594563652</v>
      </c>
      <c r="AA40" s="48">
        <f t="shared" si="9"/>
        <v>0.22324117326464787</v>
      </c>
      <c r="AC40" s="48">
        <f>(T40*(cAsymp+cDrug)+'Markov Model (2)'!U40*cProg)/((1+cDR)^ncycle)</f>
        <v>789.61682304625583</v>
      </c>
      <c r="AD40" s="44">
        <f t="shared" si="10"/>
        <v>55.131972446544204</v>
      </c>
      <c r="AE40" s="48">
        <f t="shared" si="11"/>
        <v>844.74879549280001</v>
      </c>
    </row>
    <row r="41" spans="1:31" x14ac:dyDescent="0.2">
      <c r="A41">
        <v>39</v>
      </c>
      <c r="B41">
        <v>94</v>
      </c>
      <c r="C41" s="44">
        <v>0.1958</v>
      </c>
      <c r="D41" s="62">
        <f t="shared" si="0"/>
        <v>6.5166385650172742E-4</v>
      </c>
      <c r="E41" s="62">
        <f t="shared" si="12"/>
        <v>1.5733072344801258E-3</v>
      </c>
      <c r="F41" s="62">
        <f t="shared" si="1"/>
        <v>0.40481128941242889</v>
      </c>
      <c r="G41" s="62">
        <f t="shared" si="13"/>
        <v>0.61785035094922292</v>
      </c>
      <c r="H41" s="62">
        <f t="shared" si="2"/>
        <v>999.59453704673103</v>
      </c>
      <c r="I41" s="62">
        <f t="shared" si="14"/>
        <v>999.38057634181632</v>
      </c>
      <c r="J41" s="62">
        <f>D41+F41</f>
        <v>0.40546295326893061</v>
      </c>
      <c r="K41" s="62">
        <f>D41*uAsymp+F41*uProg</f>
        <v>0.30422754772299831</v>
      </c>
      <c r="L41" s="62">
        <f>(D41+F41)/((1+oDR)^ncycle)</f>
        <v>4.1785195072650418E-2</v>
      </c>
      <c r="M41" s="62">
        <f>(D41*uAsymp+F41*uProg)/((1+oDR)^ncycle)</f>
        <v>3.1352327815873104E-2</v>
      </c>
      <c r="N41" s="52"/>
      <c r="O41" s="48">
        <f>(D41*cAsymp+'Markov Model (2)'!F41*cProg)/((1+cDR)^ncycle)</f>
        <v>125.18769132563516</v>
      </c>
      <c r="P41" s="48">
        <f>(F40*tpDcm*cDeath)/((1+cDR)^(ncycle-1))</f>
        <v>10.123989281595941</v>
      </c>
      <c r="Q41" s="48">
        <f t="shared" si="3"/>
        <v>135.3116806072311</v>
      </c>
      <c r="T41" s="48">
        <f t="shared" si="15"/>
        <v>0.25058580687118592</v>
      </c>
      <c r="U41" s="48">
        <f t="shared" si="4"/>
        <v>1.5219250837232243</v>
      </c>
      <c r="V41" s="48">
        <f t="shared" si="5"/>
        <v>998.22748910940561</v>
      </c>
      <c r="X41" s="48">
        <f t="shared" si="6"/>
        <v>1.7725108905944102</v>
      </c>
      <c r="Y41" s="48">
        <f t="shared" si="7"/>
        <v>1.3795003293200447</v>
      </c>
      <c r="Z41" s="48">
        <f t="shared" si="8"/>
        <v>0.18266702971198456</v>
      </c>
      <c r="AA41" s="48">
        <f t="shared" si="9"/>
        <v>0.14216512235876458</v>
      </c>
      <c r="AC41" s="48">
        <f>(T41*(cAsymp+cDrug)+'Markov Model (2)'!U41*cProg)/((1+cDR)^ncycle)</f>
        <v>509.26471357513242</v>
      </c>
      <c r="AD41" s="44">
        <f t="shared" si="10"/>
        <v>36.110801912780119</v>
      </c>
      <c r="AE41" s="48">
        <f t="shared" si="11"/>
        <v>545.37551548791248</v>
      </c>
    </row>
    <row r="42" spans="1:31" x14ac:dyDescent="0.2">
      <c r="A42">
        <v>40</v>
      </c>
      <c r="B42">
        <v>95</v>
      </c>
      <c r="C42" s="44">
        <v>0.1958</v>
      </c>
      <c r="D42" s="62">
        <f t="shared" si="0"/>
        <v>2.6340253077705711E-4</v>
      </c>
      <c r="E42" s="62">
        <f t="shared" si="12"/>
        <v>6.5166385650172742E-4</v>
      </c>
      <c r="F42" s="62">
        <f t="shared" si="1"/>
        <v>0.26508821107621167</v>
      </c>
      <c r="G42" s="62">
        <f t="shared" si="13"/>
        <v>0.40481128941242889</v>
      </c>
      <c r="H42" s="62">
        <f t="shared" si="2"/>
        <v>999.73464838639302</v>
      </c>
      <c r="I42" s="62">
        <f t="shared" si="14"/>
        <v>999.59453704673103</v>
      </c>
      <c r="J42" s="62">
        <f>D42+F42</f>
        <v>0.26535161360698872</v>
      </c>
      <c r="K42" s="62">
        <f>D42*uAsymp+F42*uProg</f>
        <v>0.19906639071139698</v>
      </c>
      <c r="L42" s="62">
        <f>(D42+F42)/((1+oDR)^ncycle)</f>
        <v>2.5798064386853507E-2</v>
      </c>
      <c r="M42" s="62">
        <f>(D42*uAsymp+F42*uProg)/((1+oDR)^ncycle)</f>
        <v>1.9353670004198152E-2</v>
      </c>
      <c r="N42" s="52"/>
      <c r="O42" s="48">
        <f>(D42*cAsymp+'Markov Model (2)'!F42*cProg)/((1+cDR)^ncycle)</f>
        <v>77.330171734835261</v>
      </c>
      <c r="P42" s="48">
        <f>(F41*tpDcm*cDeath)/((1+cDR)^(ncycle-1))</f>
        <v>6.2577056273585967</v>
      </c>
      <c r="Q42" s="48">
        <f t="shared" si="3"/>
        <v>83.587877362193865</v>
      </c>
      <c r="T42" s="48">
        <f t="shared" si="15"/>
        <v>0.15140394451157135</v>
      </c>
      <c r="U42" s="48">
        <f t="shared" si="4"/>
        <v>1.0457605511459707</v>
      </c>
      <c r="V42" s="48">
        <f t="shared" si="5"/>
        <v>998.80283550434251</v>
      </c>
      <c r="X42" s="48">
        <f t="shared" si="6"/>
        <v>1.197164495657542</v>
      </c>
      <c r="Y42" s="48">
        <f t="shared" si="7"/>
        <v>0.92815416064547074</v>
      </c>
      <c r="Z42" s="48">
        <f t="shared" si="8"/>
        <v>0.11639095131477598</v>
      </c>
      <c r="AA42" s="48">
        <f t="shared" si="9"/>
        <v>9.0237178028704415E-2</v>
      </c>
      <c r="AC42" s="48">
        <f>(T42*(cAsymp+cDrug)+'Markov Model (2)'!U42*cProg)/((1+cDR)^ncycle)</f>
        <v>327.09311987465975</v>
      </c>
      <c r="AD42" s="44">
        <f t="shared" si="10"/>
        <v>23.526416900715557</v>
      </c>
      <c r="AE42" s="48">
        <f t="shared" si="11"/>
        <v>350.61953677537531</v>
      </c>
    </row>
    <row r="43" spans="1:31" x14ac:dyDescent="0.2">
      <c r="A43">
        <v>41</v>
      </c>
      <c r="B43">
        <v>96</v>
      </c>
      <c r="C43" s="44">
        <v>0.1958</v>
      </c>
      <c r="D43" s="62">
        <f t="shared" si="0"/>
        <v>1.0383327753515914E-4</v>
      </c>
      <c r="E43" s="62">
        <f t="shared" si="12"/>
        <v>2.6340253077705711E-4</v>
      </c>
      <c r="F43" s="62">
        <f t="shared" si="1"/>
        <v>0.17352870272367626</v>
      </c>
      <c r="G43" s="62">
        <f t="shared" si="13"/>
        <v>0.26508821107621167</v>
      </c>
      <c r="H43" s="62">
        <f t="shared" si="2"/>
        <v>999.82636746399874</v>
      </c>
      <c r="I43" s="62">
        <f t="shared" si="14"/>
        <v>999.73464838639302</v>
      </c>
      <c r="J43" s="62">
        <f>D43+F43</f>
        <v>0.17363253600121142</v>
      </c>
      <c r="K43" s="62">
        <f>D43*uAsymp+F43*uProg</f>
        <v>0.13024516865641561</v>
      </c>
      <c r="L43" s="62">
        <f>(D43+F43)/((1+oDR)^ncycle)</f>
        <v>1.5925410384352485E-2</v>
      </c>
      <c r="M43" s="62">
        <f>(D43*uAsymp+F43*uProg)/((1+oDR)^ncycle)</f>
        <v>1.1945962486075481E-2</v>
      </c>
      <c r="N43" s="52"/>
      <c r="O43" s="48">
        <f>(D43*cAsymp+'Markov Model (2)'!F43*cProg)/((1+cDR)^ncycle)</f>
        <v>47.752422430418505</v>
      </c>
      <c r="P43" s="48">
        <f>(F42*tpDcm*cDeath)/((1+cDR)^(ncycle-1))</f>
        <v>3.8658683724845102</v>
      </c>
      <c r="Q43" s="48">
        <f t="shared" si="3"/>
        <v>51.618290802903019</v>
      </c>
      <c r="T43" s="48">
        <f t="shared" si="15"/>
        <v>9.0721243551229236E-2</v>
      </c>
      <c r="U43" s="48">
        <f t="shared" si="4"/>
        <v>0.71517436118456612</v>
      </c>
      <c r="V43" s="48">
        <f t="shared" si="5"/>
        <v>999.19410439526416</v>
      </c>
      <c r="X43" s="48">
        <f t="shared" si="6"/>
        <v>0.80589560473579536</v>
      </c>
      <c r="Y43" s="48">
        <f t="shared" si="7"/>
        <v>0.62256595226209244</v>
      </c>
      <c r="Z43" s="48">
        <f t="shared" si="8"/>
        <v>7.3915975242531254E-2</v>
      </c>
      <c r="AA43" s="48">
        <f t="shared" si="9"/>
        <v>5.7101154595990272E-2</v>
      </c>
      <c r="AC43" s="48">
        <f>(T43*(cAsymp+cDrug)+'Markov Model (2)'!U43*cProg)/((1+cDR)^ncycle)</f>
        <v>209.26662699690507</v>
      </c>
      <c r="AD43" s="44">
        <f t="shared" si="10"/>
        <v>15.25066929024957</v>
      </c>
      <c r="AE43" s="48">
        <f t="shared" si="11"/>
        <v>224.51729628715464</v>
      </c>
    </row>
    <row r="44" spans="1:31" x14ac:dyDescent="0.2">
      <c r="A44">
        <v>42</v>
      </c>
      <c r="B44">
        <v>97</v>
      </c>
      <c r="C44" s="44">
        <v>0.1958</v>
      </c>
      <c r="D44" s="62">
        <f t="shared" si="0"/>
        <v>3.9892745235192706E-5</v>
      </c>
      <c r="E44" s="62">
        <f t="shared" si="12"/>
        <v>1.0383327753515914E-4</v>
      </c>
      <c r="F44" s="62">
        <f t="shared" si="1"/>
        <v>0.11356608729839379</v>
      </c>
      <c r="G44" s="62">
        <f t="shared" si="13"/>
        <v>0.17352870272367626</v>
      </c>
      <c r="H44" s="62">
        <f t="shared" si="2"/>
        <v>999.88639401995636</v>
      </c>
      <c r="I44" s="62">
        <f t="shared" si="14"/>
        <v>999.82636746399874</v>
      </c>
      <c r="J44" s="62">
        <f>D44+F44</f>
        <v>0.11360598004362898</v>
      </c>
      <c r="K44" s="62">
        <f>D44*uAsymp+F44*uProg</f>
        <v>8.5212463581768774E-2</v>
      </c>
      <c r="L44" s="62">
        <f>(D44+F44)/((1+oDR)^ncycle)</f>
        <v>9.8300301856625461E-3</v>
      </c>
      <c r="M44" s="62">
        <f>(D44*uAsymp+F44*uProg)/((1+oDR)^ncycle)</f>
        <v>7.3732130023593098E-3</v>
      </c>
      <c r="N44" s="52"/>
      <c r="O44" s="48">
        <f>(D44*cAsymp+'Markov Model (2)'!F44*cProg)/((1+cDR)^ncycle)</f>
        <v>29.481461018082637</v>
      </c>
      <c r="P44" s="48">
        <f>(F43*tpDcm*cDeath)/((1+cDR)^(ncycle-1))</f>
        <v>2.3873830342945359</v>
      </c>
      <c r="Q44" s="48">
        <f t="shared" si="3"/>
        <v>31.868844052377174</v>
      </c>
      <c r="T44" s="48">
        <f t="shared" si="15"/>
        <v>5.3906562918200507E-2</v>
      </c>
      <c r="U44" s="48">
        <f t="shared" si="4"/>
        <v>0.48691852823270126</v>
      </c>
      <c r="V44" s="48">
        <f t="shared" si="5"/>
        <v>999.45917490884915</v>
      </c>
      <c r="X44" s="48">
        <f t="shared" si="6"/>
        <v>0.54082509115090183</v>
      </c>
      <c r="Y44" s="48">
        <f t="shared" si="7"/>
        <v>0.41640013094681638</v>
      </c>
      <c r="Z44" s="48">
        <f t="shared" si="8"/>
        <v>4.679618950635691E-2</v>
      </c>
      <c r="AA44" s="48">
        <f t="shared" si="9"/>
        <v>3.603002108647E-2</v>
      </c>
      <c r="AC44" s="48">
        <f>(T44*(cAsymp+cDrug)+'Markov Model (2)'!U44*cProg)/((1+cDR)^ncycle)</f>
        <v>133.39197634380329</v>
      </c>
      <c r="AD44" s="44">
        <f t="shared" si="10"/>
        <v>9.8392664133108205</v>
      </c>
      <c r="AE44" s="48">
        <f t="shared" si="11"/>
        <v>143.2312427571141</v>
      </c>
    </row>
    <row r="45" spans="1:31" x14ac:dyDescent="0.2">
      <c r="A45">
        <v>43</v>
      </c>
      <c r="B45">
        <v>98</v>
      </c>
      <c r="C45" s="44">
        <v>0.1958</v>
      </c>
      <c r="D45" s="62">
        <f t="shared" si="0"/>
        <v>1.4927865208846924E-5</v>
      </c>
      <c r="E45" s="62">
        <f t="shared" si="12"/>
        <v>3.9892745235192706E-5</v>
      </c>
      <c r="F45" s="62">
        <f t="shared" si="1"/>
        <v>7.431208819106036E-2</v>
      </c>
      <c r="G45" s="62">
        <f t="shared" si="13"/>
        <v>0.11356608729839379</v>
      </c>
      <c r="H45" s="62">
        <f t="shared" si="2"/>
        <v>999.92567298394374</v>
      </c>
      <c r="I45" s="62">
        <f t="shared" si="14"/>
        <v>999.88639401995636</v>
      </c>
      <c r="J45" s="62">
        <f>D45+F45</f>
        <v>7.4327016056269207E-2</v>
      </c>
      <c r="K45" s="62">
        <f>D45*uAsymp+F45*uProg</f>
        <v>5.5748247615243676E-2</v>
      </c>
      <c r="L45" s="62">
        <f>(D45+F45)/((1+oDR)^ncycle)</f>
        <v>6.0672863394242499E-3</v>
      </c>
      <c r="M45" s="62">
        <f>(D45*uAsymp+F45*uProg)/((1+oDR)^ncycle)</f>
        <v>4.5507084657716345E-3</v>
      </c>
      <c r="N45" s="52"/>
      <c r="O45" s="48">
        <f>(D45*cAsymp+'Markov Model (2)'!F45*cProg)/((1+cDR)^ncycle)</f>
        <v>18.198812628229668</v>
      </c>
      <c r="P45" s="48">
        <f>(F44*tpDcm*cDeath)/((1+cDR)^(ncycle-1))</f>
        <v>1.4739867555150816</v>
      </c>
      <c r="Q45" s="48">
        <f t="shared" si="3"/>
        <v>19.672799383744749</v>
      </c>
      <c r="T45" s="48">
        <f t="shared" si="15"/>
        <v>3.1761746871325158E-2</v>
      </c>
      <c r="U45" s="48">
        <f t="shared" si="4"/>
        <v>0.33013201219724631</v>
      </c>
      <c r="V45" s="48">
        <f t="shared" si="5"/>
        <v>999.63810624093139</v>
      </c>
      <c r="X45" s="48">
        <f t="shared" si="6"/>
        <v>0.36189375906857146</v>
      </c>
      <c r="Y45" s="48">
        <f t="shared" si="7"/>
        <v>0.27777266867569361</v>
      </c>
      <c r="Z45" s="48">
        <f t="shared" si="8"/>
        <v>2.9541251313753424E-2</v>
      </c>
      <c r="AA45" s="48">
        <f t="shared" si="9"/>
        <v>2.2674478373322281E-2</v>
      </c>
      <c r="AC45" s="48">
        <f>(T45*(cAsymp+cDrug)+'Markov Model (2)'!U45*cProg)/((1+cDR)^ncycle)</f>
        <v>84.734704781206148</v>
      </c>
      <c r="AD45" s="44">
        <f t="shared" si="10"/>
        <v>6.3197692084267922</v>
      </c>
      <c r="AE45" s="48">
        <f t="shared" si="11"/>
        <v>91.054473989632939</v>
      </c>
    </row>
    <row r="46" spans="1:31" x14ac:dyDescent="0.2">
      <c r="A46">
        <v>44</v>
      </c>
      <c r="B46">
        <v>99</v>
      </c>
      <c r="C46" s="44">
        <v>0.1958</v>
      </c>
      <c r="D46" s="62">
        <f t="shared" si="0"/>
        <v>5.4367285429179901E-6</v>
      </c>
      <c r="E46" s="62">
        <f t="shared" si="12"/>
        <v>1.4927865208846924E-5</v>
      </c>
      <c r="F46" s="62">
        <f t="shared" si="1"/>
        <v>4.862153635528358E-2</v>
      </c>
      <c r="G46" s="62">
        <f t="shared" si="13"/>
        <v>7.431208819106036E-2</v>
      </c>
      <c r="H46" s="62">
        <f t="shared" si="2"/>
        <v>999.95137302691614</v>
      </c>
      <c r="I46" s="62">
        <f t="shared" si="14"/>
        <v>999.92567298394374</v>
      </c>
      <c r="J46" s="62">
        <f>D46+F46</f>
        <v>4.8626973083826498E-2</v>
      </c>
      <c r="K46" s="62">
        <f>D46*uAsymp+F46*uProg</f>
        <v>3.6471317158578459E-2</v>
      </c>
      <c r="L46" s="62">
        <f>(D46+F46)/((1+oDR)^ncycle)</f>
        <v>3.744718402506314E-3</v>
      </c>
      <c r="M46" s="62">
        <f>(D46*uAsymp+F46*uProg)/((1+oDR)^ncycle)</f>
        <v>2.8086225373711018E-3</v>
      </c>
      <c r="N46" s="52"/>
      <c r="O46" s="48">
        <f>(D46*cAsymp+'Markov Model (2)'!F46*cProg)/((1+cDR)^ncycle)</f>
        <v>11.233108513876866</v>
      </c>
      <c r="P46" s="48">
        <f>(F45*tpDcm*cDeath)/((1+cDR)^(ncycle-1))</f>
        <v>0.90991016751105247</v>
      </c>
      <c r="Q46" s="48">
        <f t="shared" si="3"/>
        <v>12.143018681387918</v>
      </c>
      <c r="T46" s="48">
        <f t="shared" si="15"/>
        <v>1.855521252230119E-2</v>
      </c>
      <c r="U46" s="48">
        <f t="shared" si="4"/>
        <v>0.22295994669113006</v>
      </c>
      <c r="V46" s="48">
        <f t="shared" si="5"/>
        <v>999.75848484078654</v>
      </c>
      <c r="X46" s="48">
        <f t="shared" si="6"/>
        <v>0.24151515921343125</v>
      </c>
      <c r="Y46" s="48">
        <f t="shared" si="7"/>
        <v>0.18484741191453369</v>
      </c>
      <c r="Z46" s="48">
        <f t="shared" si="8"/>
        <v>1.8598859929687604E-2</v>
      </c>
      <c r="AA46" s="48">
        <f t="shared" si="9"/>
        <v>1.4234928911959108E-2</v>
      </c>
      <c r="AC46" s="48">
        <f>(T46*(cAsymp+cDrug)+'Markov Model (2)'!U46*cProg)/((1+cDR)^ncycle)</f>
        <v>53.653200053862278</v>
      </c>
      <c r="AD46" s="44">
        <f t="shared" si="10"/>
        <v>4.042282781057601</v>
      </c>
      <c r="AE46" s="48">
        <f t="shared" si="11"/>
        <v>57.695482834919879</v>
      </c>
    </row>
    <row r="47" spans="1:31" x14ac:dyDescent="0.2">
      <c r="A47">
        <v>45</v>
      </c>
      <c r="B47">
        <v>100</v>
      </c>
      <c r="C47" s="44">
        <v>0.1958</v>
      </c>
      <c r="D47" s="62">
        <f t="shared" si="0"/>
        <v>1.9256892755947774E-6</v>
      </c>
      <c r="E47" s="62">
        <f t="shared" si="12"/>
        <v>5.4367285429179901E-6</v>
      </c>
      <c r="F47" s="62">
        <f t="shared" si="1"/>
        <v>3.1810655611470832E-2</v>
      </c>
      <c r="G47" s="62">
        <f t="shared" si="13"/>
        <v>4.862153635528358E-2</v>
      </c>
      <c r="H47" s="62">
        <f t="shared" si="2"/>
        <v>999.96818741869924</v>
      </c>
      <c r="I47" s="62">
        <f t="shared" si="14"/>
        <v>999.95137302691614</v>
      </c>
      <c r="J47" s="62">
        <f>D47+F47</f>
        <v>3.1812581300746427E-2</v>
      </c>
      <c r="K47" s="62">
        <f>D47*uAsymp+F47*uProg</f>
        <v>2.3859821113414937E-2</v>
      </c>
      <c r="L47" s="62">
        <f>(D47+F47)/((1+oDR)^ncycle)</f>
        <v>2.3111863967359755E-3</v>
      </c>
      <c r="M47" s="62">
        <f>(D47*uAsymp+F47*uProg)/((1+oDR)^ncycle)</f>
        <v>1.7334177778457903E-3</v>
      </c>
      <c r="N47" s="52"/>
      <c r="O47" s="48">
        <f>(D47*cAsymp+'Markov Model (2)'!F47*cProg)/((1+cDR)^ncycle)</f>
        <v>6.9332094365353125</v>
      </c>
      <c r="P47" s="48">
        <f>(F46*tpDcm*cDeath)/((1+cDR)^(ncycle-1))</f>
        <v>0.56164495875742249</v>
      </c>
      <c r="Q47" s="48">
        <f t="shared" si="3"/>
        <v>7.4948543952927347</v>
      </c>
      <c r="T47" s="48">
        <f t="shared" si="15"/>
        <v>1.0747179092959414E-2</v>
      </c>
      <c r="U47" s="48">
        <f t="shared" si="4"/>
        <v>0.15003531994285507</v>
      </c>
      <c r="V47" s="48">
        <f t="shared" si="5"/>
        <v>999.8392175009642</v>
      </c>
      <c r="X47" s="48">
        <f t="shared" si="6"/>
        <v>0.16078249903581449</v>
      </c>
      <c r="Y47" s="48">
        <f t="shared" si="7"/>
        <v>0.12273631009545274</v>
      </c>
      <c r="Z47" s="48">
        <f t="shared" si="8"/>
        <v>1.1680860508985815E-2</v>
      </c>
      <c r="AA47" s="48">
        <f t="shared" si="9"/>
        <v>8.9168020537686767E-3</v>
      </c>
      <c r="AC47" s="48">
        <f>(T47*(cAsymp+cDrug)+'Markov Model (2)'!U47*cProg)/((1+cDR)^ncycle)</f>
        <v>33.87140648673757</v>
      </c>
      <c r="AD47" s="44">
        <f t="shared" si="10"/>
        <v>2.5754910159330877</v>
      </c>
      <c r="AE47" s="48">
        <f t="shared" si="11"/>
        <v>36.446897502670659</v>
      </c>
    </row>
    <row r="48" spans="1:31" x14ac:dyDescent="0.2">
      <c r="C48" s="67"/>
      <c r="D48" s="63">
        <f>SUM(D2:D47)</f>
        <v>10663.391574271616</v>
      </c>
      <c r="E48" s="63"/>
      <c r="F48" s="63">
        <f t="shared" ref="F48:H48" si="16">SUM(F2:F47)</f>
        <v>4029.8535050547957</v>
      </c>
      <c r="G48" s="63"/>
      <c r="H48" s="63">
        <f t="shared" si="16"/>
        <v>31306.754920673597</v>
      </c>
      <c r="I48" s="63"/>
      <c r="T48" s="63">
        <f>SUM(T2:T47)</f>
        <v>13756.337339588528</v>
      </c>
      <c r="U48" s="63">
        <f t="shared" ref="U48:V48" si="17">SUM(U2:U47)</f>
        <v>3103.8918041986012</v>
      </c>
      <c r="V48" s="63">
        <f t="shared" si="17"/>
        <v>29139.770856212876</v>
      </c>
    </row>
    <row r="49" spans="1:31" x14ac:dyDescent="0.2">
      <c r="J49" s="6">
        <f>SUM(J2:J47)</f>
        <v>13693.245079326403</v>
      </c>
      <c r="K49" s="6">
        <f>SUM(K3:K47)</f>
        <v>12202.612124349125</v>
      </c>
      <c r="L49" s="6">
        <f>SUM(L2:L47)</f>
        <v>8560.1724481610272</v>
      </c>
      <c r="M49" s="6">
        <f>SUM(M2:M47)</f>
        <v>7755.9516801447353</v>
      </c>
      <c r="O49">
        <f>SUM(O2:O47)</f>
        <v>8982738.0441834945</v>
      </c>
      <c r="P49" s="6">
        <f>SUM(P2:P47)</f>
        <v>282158.76254920464</v>
      </c>
      <c r="Q49">
        <f>SUM(Q2:Q47)</f>
        <v>9264896.806732703</v>
      </c>
      <c r="W49" t="s">
        <v>50</v>
      </c>
      <c r="X49" s="6">
        <f>SUM(X2:X47)</f>
        <v>15860.229143787126</v>
      </c>
      <c r="Y49" s="6">
        <f>SUM(Y3:Y47)</f>
        <v>14446.439325758052</v>
      </c>
      <c r="Z49" s="6">
        <f>SUM(Z2:Z47)</f>
        <v>9350.4181283309372</v>
      </c>
      <c r="AA49" s="6">
        <f>SUM(AA2:AA47)</f>
        <v>8624.7378423777318</v>
      </c>
      <c r="AC49">
        <f>SUM(AC2:AC47)</f>
        <v>15961822.539021384</v>
      </c>
      <c r="AD49" s="6">
        <f>SUM(AD2:AD47)</f>
        <v>193617.89964092497</v>
      </c>
      <c r="AE49">
        <f>SUM(AE2:AE47)</f>
        <v>16155440.438662307</v>
      </c>
    </row>
    <row r="50" spans="1:31" x14ac:dyDescent="0.2">
      <c r="J50" s="8">
        <f>J49/1000</f>
        <v>13.693245079326404</v>
      </c>
      <c r="K50" s="8">
        <f t="shared" ref="K50:Q50" si="18">K49/1000</f>
        <v>12.202612124349125</v>
      </c>
      <c r="L50" s="8">
        <f t="shared" si="18"/>
        <v>8.560172448161028</v>
      </c>
      <c r="M50" s="64">
        <f t="shared" si="18"/>
        <v>7.7559516801447357</v>
      </c>
      <c r="N50" s="61"/>
      <c r="O50" s="6">
        <f t="shared" si="18"/>
        <v>8982.7380441834939</v>
      </c>
      <c r="P50" s="6">
        <f t="shared" si="18"/>
        <v>282.15876254920465</v>
      </c>
      <c r="Q50" s="65">
        <f t="shared" si="18"/>
        <v>9264.8968067327023</v>
      </c>
      <c r="W50" t="s">
        <v>51</v>
      </c>
      <c r="X50" s="8">
        <f>X49/1000</f>
        <v>15.860229143787127</v>
      </c>
      <c r="Y50" s="8">
        <f>Y49/1000</f>
        <v>14.446439325758051</v>
      </c>
      <c r="Z50" s="8">
        <f>Z49/1000</f>
        <v>9.3504181283309364</v>
      </c>
      <c r="AA50" s="64">
        <f>AA49/1000</f>
        <v>8.6247378423777317</v>
      </c>
      <c r="AB50" s="6"/>
      <c r="AC50" s="6">
        <f>AC49/1000</f>
        <v>15961.822539021385</v>
      </c>
      <c r="AD50" s="6">
        <f>AD49/1000</f>
        <v>193.61789964092497</v>
      </c>
      <c r="AE50" s="65">
        <f>AE49/1000</f>
        <v>16155.440438662308</v>
      </c>
    </row>
    <row r="56" spans="1:31" x14ac:dyDescent="0.2">
      <c r="A56" t="s">
        <v>29</v>
      </c>
      <c r="C56" t="s">
        <v>30</v>
      </c>
    </row>
    <row r="57" spans="1:31" x14ac:dyDescent="0.2">
      <c r="A57" t="s">
        <v>52</v>
      </c>
      <c r="C57" s="5">
        <f>Q50</f>
        <v>9264.8968067327023</v>
      </c>
    </row>
    <row r="58" spans="1:31" x14ac:dyDescent="0.2">
      <c r="A58" t="s">
        <v>53</v>
      </c>
      <c r="C58" s="5">
        <f>AE50</f>
        <v>16155.440438662308</v>
      </c>
    </row>
    <row r="59" spans="1:31" x14ac:dyDescent="0.2">
      <c r="A59" t="s">
        <v>55</v>
      </c>
      <c r="C59" s="5">
        <f>C58-C57</f>
        <v>6890.5436319296059</v>
      </c>
    </row>
    <row r="60" spans="1:31" x14ac:dyDescent="0.2">
      <c r="A60" t="s">
        <v>54</v>
      </c>
      <c r="C60" s="5" t="e">
        <f>C59/#REF!</f>
        <v>#REF!</v>
      </c>
    </row>
    <row r="66" spans="1:11" x14ac:dyDescent="0.2">
      <c r="A66">
        <v>1</v>
      </c>
      <c r="C66">
        <v>500</v>
      </c>
      <c r="D66" s="6">
        <f>C66/(1+oDR)^A66</f>
        <v>471.69811320754712</v>
      </c>
      <c r="E66" s="6"/>
      <c r="F66" s="8" t="e">
        <f>#REF!/(1+oDR)^A66</f>
        <v>#REF!</v>
      </c>
      <c r="G66" s="8"/>
      <c r="H66">
        <v>500</v>
      </c>
      <c r="J66" s="6">
        <f>H66/(1+cDR)^A66</f>
        <v>471.69811320754712</v>
      </c>
      <c r="K66" s="8" t="e">
        <f>#REF!/(1+oDR)^A66</f>
        <v>#REF!</v>
      </c>
    </row>
    <row r="67" spans="1:11" x14ac:dyDescent="0.2">
      <c r="A67">
        <v>2</v>
      </c>
      <c r="C67">
        <v>500</v>
      </c>
      <c r="D67" s="6">
        <f>C67/(1+oDR)^A67</f>
        <v>444.99822000711993</v>
      </c>
      <c r="E67" s="6"/>
      <c r="F67" s="8" t="e">
        <f>#REF!/(1+oDR)^A67</f>
        <v>#REF!</v>
      </c>
      <c r="G67" s="8"/>
      <c r="H67">
        <v>500</v>
      </c>
      <c r="J67" s="6">
        <f>H67/(1+cDR)^A67</f>
        <v>444.99822000711993</v>
      </c>
      <c r="K67" s="8" t="e">
        <f>#REF!/(1+oDR)^A67</f>
        <v>#REF!</v>
      </c>
    </row>
    <row r="68" spans="1:11" x14ac:dyDescent="0.2">
      <c r="A68">
        <v>3</v>
      </c>
      <c r="C68">
        <v>500</v>
      </c>
      <c r="D68" s="6">
        <f>C68/(1+oDR)^A68</f>
        <v>419.8096415161508</v>
      </c>
      <c r="E68" s="6"/>
      <c r="F68" s="8" t="e">
        <f>#REF!/(1+oDR)^A68</f>
        <v>#REF!</v>
      </c>
      <c r="G68" s="8"/>
      <c r="H68">
        <v>500</v>
      </c>
      <c r="J68" s="6">
        <f>H68/(1+cDR)^A68</f>
        <v>419.8096415161508</v>
      </c>
      <c r="K68" s="8" t="e">
        <f>#REF!/(1+oDR)^A68</f>
        <v>#REF!</v>
      </c>
    </row>
    <row r="69" spans="1:11" x14ac:dyDescent="0.2">
      <c r="A69">
        <v>4</v>
      </c>
      <c r="C69">
        <v>500</v>
      </c>
      <c r="D69" s="6">
        <f>C69/(1+oDR)^A69</f>
        <v>396.04683161901022</v>
      </c>
      <c r="E69" s="6"/>
      <c r="F69" s="8" t="e">
        <f>#REF!/(1+oDR)^A69</f>
        <v>#REF!</v>
      </c>
      <c r="G69" s="8"/>
      <c r="H69">
        <v>500</v>
      </c>
      <c r="J69" s="6">
        <f>H69/(1+cDR)^A69</f>
        <v>396.04683161901022</v>
      </c>
      <c r="K69" s="8" t="e">
        <f>#REF!/(1+oDR)^A69</f>
        <v>#REF!</v>
      </c>
    </row>
    <row r="70" spans="1:11" x14ac:dyDescent="0.2">
      <c r="A70">
        <v>5</v>
      </c>
      <c r="C70">
        <v>500</v>
      </c>
      <c r="D70" s="6">
        <f>C70/(1+oDR)^A70</f>
        <v>373.62908643302842</v>
      </c>
      <c r="E70" s="6"/>
      <c r="F70" s="8" t="e">
        <f>#REF!/(1+oDR)^A70</f>
        <v>#REF!</v>
      </c>
      <c r="G70" s="8"/>
      <c r="H70">
        <v>500</v>
      </c>
      <c r="J70" s="6">
        <f>H70/(1+cDR)^A70</f>
        <v>373.62908643302842</v>
      </c>
      <c r="K70" s="8" t="e">
        <f>#REF!/(1+oDR)^A70</f>
        <v>#REF!</v>
      </c>
    </row>
    <row r="71" spans="1:11" x14ac:dyDescent="0.2">
      <c r="A71">
        <v>6</v>
      </c>
      <c r="C71">
        <v>500</v>
      </c>
      <c r="D71" s="6">
        <f>C71/(1+oDR)^A71</f>
        <v>352.48027021983813</v>
      </c>
      <c r="E71" s="6"/>
      <c r="F71" s="8" t="e">
        <f>#REF!/(1+oDR)^A71</f>
        <v>#REF!</v>
      </c>
      <c r="G71" s="8"/>
      <c r="H71">
        <v>3000</v>
      </c>
      <c r="J71" s="6">
        <f>H71/(1+cDR)^A71</f>
        <v>2114.8816213190289</v>
      </c>
      <c r="K71" s="8" t="e">
        <f>#REF!/(1+oDR)^A71</f>
        <v>#REF!</v>
      </c>
    </row>
    <row r="72" spans="1:11" x14ac:dyDescent="0.2">
      <c r="A72">
        <v>7</v>
      </c>
      <c r="C72">
        <v>500</v>
      </c>
      <c r="D72" s="6">
        <f>C72/(1+oDR)^A72</f>
        <v>332.52855681116802</v>
      </c>
      <c r="E72" s="6"/>
      <c r="F72" s="8" t="e">
        <f>#REF!/(1+oDR)^A72</f>
        <v>#REF!</v>
      </c>
      <c r="G72" s="8"/>
      <c r="H72">
        <v>1000</v>
      </c>
      <c r="J72" s="6">
        <f>H72/(1+cDR)^A72</f>
        <v>665.05711362233603</v>
      </c>
    </row>
    <row r="73" spans="1:11" x14ac:dyDescent="0.2">
      <c r="A73">
        <v>8</v>
      </c>
      <c r="C73">
        <v>500</v>
      </c>
      <c r="D73" s="6">
        <f>C73/(1+oDR)^A73</f>
        <v>313.70618567091327</v>
      </c>
      <c r="E73" s="6"/>
      <c r="F73" s="8" t="e">
        <f>#REF!/(1+oDR)^A73</f>
        <v>#REF!</v>
      </c>
      <c r="G73" s="8"/>
      <c r="J73" s="6">
        <f>SUM(J66:J72)</f>
        <v>4886.1206277242209</v>
      </c>
      <c r="K73" s="8" t="e">
        <f>SUM(K66:K72)</f>
        <v>#REF!</v>
      </c>
    </row>
    <row r="74" spans="1:11" x14ac:dyDescent="0.2">
      <c r="A74">
        <v>9</v>
      </c>
      <c r="C74">
        <v>500</v>
      </c>
      <c r="D74" s="6">
        <f>C74/(1+oDR)^A74</f>
        <v>295.94923176501248</v>
      </c>
      <c r="E74" s="6"/>
      <c r="F74" s="8" t="e">
        <f>#REF!/(1+oDR)^A74</f>
        <v>#REF!</v>
      </c>
      <c r="G74" s="8"/>
    </row>
    <row r="75" spans="1:11" x14ac:dyDescent="0.2">
      <c r="A75">
        <v>10</v>
      </c>
      <c r="C75">
        <v>500</v>
      </c>
      <c r="D75" s="6">
        <f>C75/(1+oDR)^A75</f>
        <v>279.19738845755893</v>
      </c>
      <c r="E75" s="6"/>
      <c r="F75" s="8" t="e">
        <f>#REF!/(1+oDR)^A75</f>
        <v>#REF!</v>
      </c>
      <c r="G75" s="8"/>
    </row>
    <row r="76" spans="1:11" x14ac:dyDescent="0.2">
      <c r="A76">
        <v>11</v>
      </c>
      <c r="C76">
        <v>500</v>
      </c>
      <c r="D76" s="6">
        <f>C76/(1+oDR)^A76</f>
        <v>263.39376269581027</v>
      </c>
      <c r="E76" s="6"/>
      <c r="F76" s="8" t="e">
        <f>#REF!/(1+oDR)^A76</f>
        <v>#REF!</v>
      </c>
      <c r="G76" s="8"/>
    </row>
    <row r="77" spans="1:11" x14ac:dyDescent="0.2">
      <c r="A77">
        <v>12</v>
      </c>
      <c r="C77">
        <v>500</v>
      </c>
      <c r="D77" s="6">
        <f>C77/(1+oDR)^A77</f>
        <v>248.48468178850024</v>
      </c>
      <c r="E77" s="6"/>
      <c r="F77" s="8" t="e">
        <f>#REF!/(1+oDR)^A77</f>
        <v>#REF!</v>
      </c>
      <c r="G77" s="8"/>
    </row>
    <row r="78" spans="1:11" x14ac:dyDescent="0.2">
      <c r="A78">
        <v>13</v>
      </c>
      <c r="C78">
        <v>500</v>
      </c>
      <c r="D78" s="6">
        <f>C78/(1+oDR)^A78</f>
        <v>234.41951112122663</v>
      </c>
      <c r="E78" s="6"/>
      <c r="F78" s="8" t="e">
        <f>#REF!/(1+oDR)^A78</f>
        <v>#REF!</v>
      </c>
      <c r="G78" s="8"/>
    </row>
    <row r="79" spans="1:11" x14ac:dyDescent="0.2">
      <c r="A79">
        <v>14</v>
      </c>
      <c r="C79">
        <v>500</v>
      </c>
      <c r="D79" s="6">
        <f>C79/(1+oDR)^A79</f>
        <v>221.15048218983645</v>
      </c>
      <c r="E79" s="6"/>
      <c r="F79" s="8" t="e">
        <f>#REF!/(1+oDR)^A79</f>
        <v>#REF!</v>
      </c>
      <c r="G79" s="8"/>
    </row>
    <row r="80" spans="1:11" x14ac:dyDescent="0.2">
      <c r="A80">
        <v>15</v>
      </c>
      <c r="C80">
        <v>500</v>
      </c>
      <c r="D80" s="6">
        <f>C80/(1+oDR)^A80</f>
        <v>208.63253036777019</v>
      </c>
      <c r="E80" s="6"/>
      <c r="F80" s="8" t="e">
        <f>#REF!/(1+oDR)^A80</f>
        <v>#REF!</v>
      </c>
      <c r="G80" s="8"/>
    </row>
    <row r="81" spans="1:7" x14ac:dyDescent="0.2">
      <c r="A81">
        <v>16</v>
      </c>
      <c r="C81">
        <v>3000</v>
      </c>
      <c r="D81" s="6">
        <f>C81/(1+oDR)^A81</f>
        <v>1180.938851138322</v>
      </c>
      <c r="E81" s="6"/>
      <c r="F81" s="8" t="e">
        <f>#REF!/(1+oDR)^A81</f>
        <v>#REF!</v>
      </c>
      <c r="G81" s="8"/>
    </row>
    <row r="82" spans="1:7" x14ac:dyDescent="0.2">
      <c r="A82">
        <v>17</v>
      </c>
      <c r="C82">
        <v>3000</v>
      </c>
      <c r="D82" s="6">
        <f>C82/(1+oDR)^A82</f>
        <v>1114.0932557908698</v>
      </c>
      <c r="E82" s="6"/>
      <c r="F82" s="8" t="e">
        <f>#REF!/(1+oDR)^A82</f>
        <v>#REF!</v>
      </c>
      <c r="G82" s="8"/>
    </row>
    <row r="83" spans="1:7" x14ac:dyDescent="0.2">
      <c r="A83">
        <v>18</v>
      </c>
      <c r="C83">
        <v>3000</v>
      </c>
      <c r="D83" s="6">
        <f>C83/(1+oDR)^A83</f>
        <v>1051.031373387613</v>
      </c>
      <c r="E83" s="6"/>
      <c r="F83" s="8" t="e">
        <f>#REF!/(1+oDR)^A83</f>
        <v>#REF!</v>
      </c>
      <c r="G83" s="8"/>
    </row>
    <row r="84" spans="1:7" x14ac:dyDescent="0.2">
      <c r="A84">
        <v>19</v>
      </c>
      <c r="C84">
        <v>3000</v>
      </c>
      <c r="D84" s="6">
        <f>C84/(1+oDR)^A84</f>
        <v>991.53903149774794</v>
      </c>
      <c r="E84" s="6"/>
      <c r="F84" s="8" t="e">
        <f>#REF!/(1+oDR)^A84</f>
        <v>#REF!</v>
      </c>
      <c r="G84" s="8"/>
    </row>
    <row r="85" spans="1:7" x14ac:dyDescent="0.2">
      <c r="A85">
        <v>20</v>
      </c>
      <c r="C85">
        <v>3000</v>
      </c>
      <c r="D85" s="6">
        <f>C85/(1+oDR)^A85</f>
        <v>935.4141806582528</v>
      </c>
      <c r="E85" s="6"/>
      <c r="F85" s="8" t="e">
        <f>#REF!/(1+oDR)^A85</f>
        <v>#REF!</v>
      </c>
      <c r="G85" s="8"/>
    </row>
    <row r="86" spans="1:7" x14ac:dyDescent="0.2">
      <c r="A86">
        <v>21</v>
      </c>
      <c r="C86">
        <v>1000</v>
      </c>
      <c r="D86" s="6">
        <f>C86/(1+oDR)^A86</f>
        <v>294.15540272272096</v>
      </c>
      <c r="E86" s="6"/>
      <c r="F86" s="6"/>
      <c r="G86" s="6"/>
    </row>
    <row r="87" spans="1:7" x14ac:dyDescent="0.2">
      <c r="D87" s="53">
        <f>SUM(D66:D86)</f>
        <v>10423.296589066018</v>
      </c>
      <c r="E87" s="53"/>
      <c r="F87" s="54" t="e">
        <f>SUM(F66:F86)</f>
        <v>#REF!</v>
      </c>
      <c r="G87" s="69"/>
    </row>
  </sheetData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outlinePr summaryBelow="0"/>
  </sheetPr>
  <dimension ref="B1:X21"/>
  <sheetViews>
    <sheetView showGridLines="0" workbookViewId="0"/>
  </sheetViews>
  <sheetFormatPr defaultRowHeight="12.75" outlineLevelRow="1" outlineLevelCol="1" x14ac:dyDescent="0.2"/>
  <cols>
    <col min="3" max="3" width="8.7109375" customWidth="1"/>
    <col min="4" max="24" width="12" bestFit="1" customWidth="1" outlineLevel="1"/>
  </cols>
  <sheetData>
    <row r="1" spans="2:24" ht="13.5" thickBot="1" x14ac:dyDescent="0.25"/>
    <row r="2" spans="2:24" ht="15" x14ac:dyDescent="0.25">
      <c r="B2" s="14" t="s">
        <v>82</v>
      </c>
      <c r="C2" s="14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</row>
    <row r="3" spans="2:24" ht="15" collapsed="1" x14ac:dyDescent="0.25">
      <c r="B3" s="13"/>
      <c r="C3" s="13"/>
      <c r="D3" s="20" t="s">
        <v>84</v>
      </c>
      <c r="E3" s="20" t="s">
        <v>62</v>
      </c>
      <c r="F3" s="20" t="s">
        <v>64</v>
      </c>
      <c r="G3" s="20" t="s">
        <v>66</v>
      </c>
      <c r="H3" s="20" t="s">
        <v>67</v>
      </c>
      <c r="I3" s="20" t="s">
        <v>68</v>
      </c>
      <c r="J3" s="20" t="s">
        <v>69</v>
      </c>
      <c r="K3" s="20" t="s">
        <v>70</v>
      </c>
      <c r="L3" s="20" t="s">
        <v>71</v>
      </c>
      <c r="M3" s="20" t="s">
        <v>72</v>
      </c>
      <c r="N3" s="20" t="s">
        <v>73</v>
      </c>
      <c r="O3" s="20" t="s">
        <v>74</v>
      </c>
      <c r="P3" s="20" t="s">
        <v>75</v>
      </c>
      <c r="Q3" s="20" t="s">
        <v>76</v>
      </c>
      <c r="R3" s="20" t="s">
        <v>77</v>
      </c>
      <c r="S3" s="20" t="s">
        <v>78</v>
      </c>
      <c r="T3" s="20" t="s">
        <v>79</v>
      </c>
      <c r="U3" s="20" t="s">
        <v>80</v>
      </c>
      <c r="V3" s="20" t="s">
        <v>81</v>
      </c>
      <c r="W3" s="20" t="s">
        <v>91</v>
      </c>
      <c r="X3" s="20" t="s">
        <v>92</v>
      </c>
    </row>
    <row r="4" spans="2:24" ht="67.5" hidden="1" outlineLevel="1" x14ac:dyDescent="0.2">
      <c r="B4" s="16"/>
      <c r="C4" s="16"/>
      <c r="D4" s="11"/>
      <c r="E4" s="23" t="s">
        <v>63</v>
      </c>
      <c r="F4" s="23" t="s">
        <v>65</v>
      </c>
      <c r="G4" s="23" t="s">
        <v>63</v>
      </c>
      <c r="H4" s="23" t="s">
        <v>65</v>
      </c>
      <c r="I4" s="23" t="s">
        <v>63</v>
      </c>
      <c r="J4" s="23" t="s">
        <v>63</v>
      </c>
      <c r="K4" s="23" t="s">
        <v>65</v>
      </c>
      <c r="L4" s="23" t="s">
        <v>65</v>
      </c>
      <c r="M4" s="23" t="s">
        <v>65</v>
      </c>
      <c r="N4" s="23" t="s">
        <v>65</v>
      </c>
      <c r="O4" s="23" t="s">
        <v>65</v>
      </c>
      <c r="P4" s="23" t="s">
        <v>65</v>
      </c>
      <c r="Q4" s="23" t="s">
        <v>65</v>
      </c>
      <c r="R4" s="23" t="s">
        <v>65</v>
      </c>
      <c r="S4" s="23" t="s">
        <v>63</v>
      </c>
      <c r="T4" s="23" t="s">
        <v>65</v>
      </c>
      <c r="U4" s="23" t="s">
        <v>65</v>
      </c>
      <c r="V4" s="23" t="s">
        <v>65</v>
      </c>
      <c r="W4" s="23" t="s">
        <v>65</v>
      </c>
      <c r="X4" s="23" t="s">
        <v>65</v>
      </c>
    </row>
    <row r="5" spans="2:24" x14ac:dyDescent="0.2">
      <c r="B5" s="17" t="s">
        <v>83</v>
      </c>
      <c r="C5" s="17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</row>
    <row r="6" spans="2:24" outlineLevel="1" x14ac:dyDescent="0.2">
      <c r="B6" s="16"/>
      <c r="C6" s="16" t="s">
        <v>4</v>
      </c>
      <c r="D6" s="11">
        <v>500</v>
      </c>
      <c r="E6" s="21">
        <v>250</v>
      </c>
      <c r="F6" s="21">
        <v>750</v>
      </c>
      <c r="G6" s="11">
        <v>500</v>
      </c>
      <c r="H6" s="11">
        <v>500</v>
      </c>
      <c r="I6" s="11">
        <v>500</v>
      </c>
      <c r="J6" s="11">
        <v>500</v>
      </c>
      <c r="K6" s="11">
        <v>500</v>
      </c>
      <c r="L6" s="11">
        <v>500</v>
      </c>
      <c r="M6" s="11">
        <v>500</v>
      </c>
      <c r="N6" s="11">
        <v>500</v>
      </c>
      <c r="O6" s="11">
        <v>500</v>
      </c>
      <c r="P6" s="11">
        <v>500</v>
      </c>
      <c r="Q6" s="11">
        <v>500</v>
      </c>
      <c r="R6" s="11">
        <v>500</v>
      </c>
      <c r="S6" s="11">
        <v>500</v>
      </c>
      <c r="T6" s="11">
        <v>500</v>
      </c>
      <c r="U6" s="11">
        <v>500</v>
      </c>
      <c r="V6" s="11">
        <v>500</v>
      </c>
      <c r="W6" s="21">
        <v>750</v>
      </c>
      <c r="X6" s="21">
        <v>250</v>
      </c>
    </row>
    <row r="7" spans="2:24" outlineLevel="1" x14ac:dyDescent="0.2">
      <c r="B7" s="16"/>
      <c r="C7" s="16" t="s">
        <v>6</v>
      </c>
      <c r="D7" s="11">
        <v>1000</v>
      </c>
      <c r="E7" s="11">
        <v>1000</v>
      </c>
      <c r="F7" s="11">
        <v>1000</v>
      </c>
      <c r="G7" s="21">
        <v>500</v>
      </c>
      <c r="H7" s="21">
        <v>1500</v>
      </c>
      <c r="I7" s="11">
        <v>1000</v>
      </c>
      <c r="J7" s="11">
        <v>1000</v>
      </c>
      <c r="K7" s="11">
        <v>1000</v>
      </c>
      <c r="L7" s="11">
        <v>1000</v>
      </c>
      <c r="M7" s="11">
        <v>1000</v>
      </c>
      <c r="N7" s="11">
        <v>1000</v>
      </c>
      <c r="O7" s="11">
        <v>1000</v>
      </c>
      <c r="P7" s="11">
        <v>1000</v>
      </c>
      <c r="Q7" s="11">
        <v>1000</v>
      </c>
      <c r="R7" s="11">
        <v>1000</v>
      </c>
      <c r="S7" s="11">
        <v>1000</v>
      </c>
      <c r="T7" s="11">
        <v>1000</v>
      </c>
      <c r="U7" s="11">
        <v>1000</v>
      </c>
      <c r="V7" s="11">
        <v>1000</v>
      </c>
      <c r="W7" s="21">
        <v>500</v>
      </c>
      <c r="X7" s="21">
        <v>1500</v>
      </c>
    </row>
    <row r="8" spans="2:24" outlineLevel="1" x14ac:dyDescent="0.2">
      <c r="B8" s="16"/>
      <c r="C8" s="16" t="s">
        <v>10</v>
      </c>
      <c r="D8" s="11">
        <v>1000</v>
      </c>
      <c r="E8" s="11">
        <v>1000</v>
      </c>
      <c r="F8" s="11">
        <v>1000</v>
      </c>
      <c r="G8" s="11">
        <v>1000</v>
      </c>
      <c r="H8" s="11">
        <v>1000</v>
      </c>
      <c r="I8" s="21">
        <v>800</v>
      </c>
      <c r="J8" s="21">
        <v>1200</v>
      </c>
      <c r="K8" s="11">
        <v>1000</v>
      </c>
      <c r="L8" s="11">
        <v>1000</v>
      </c>
      <c r="M8" s="11">
        <v>1000</v>
      </c>
      <c r="N8" s="11">
        <v>1000</v>
      </c>
      <c r="O8" s="11">
        <v>1000</v>
      </c>
      <c r="P8" s="11">
        <v>1000</v>
      </c>
      <c r="Q8" s="11">
        <v>1000</v>
      </c>
      <c r="R8" s="11">
        <v>1000</v>
      </c>
      <c r="S8" s="11">
        <v>1000</v>
      </c>
      <c r="T8" s="11">
        <v>1000</v>
      </c>
      <c r="U8" s="11">
        <v>1000</v>
      </c>
      <c r="V8" s="11">
        <v>1000</v>
      </c>
      <c r="W8" s="21">
        <v>1200</v>
      </c>
      <c r="X8" s="21">
        <v>800</v>
      </c>
    </row>
    <row r="9" spans="2:24" outlineLevel="1" x14ac:dyDescent="0.2">
      <c r="B9" s="16"/>
      <c r="C9" s="16" t="s">
        <v>12</v>
      </c>
      <c r="D9" s="11">
        <v>0.15</v>
      </c>
      <c r="E9" s="11">
        <v>0.15</v>
      </c>
      <c r="F9" s="11">
        <v>0.15</v>
      </c>
      <c r="G9" s="11">
        <v>0.15</v>
      </c>
      <c r="H9" s="11">
        <v>0.15</v>
      </c>
      <c r="I9" s="11">
        <v>0.15</v>
      </c>
      <c r="J9" s="11">
        <v>0.15</v>
      </c>
      <c r="K9" s="21">
        <v>0.1</v>
      </c>
      <c r="L9" s="21">
        <v>0.2</v>
      </c>
      <c r="M9" s="11">
        <v>0.15</v>
      </c>
      <c r="N9" s="11">
        <v>0.15</v>
      </c>
      <c r="O9" s="11">
        <v>0.15</v>
      </c>
      <c r="P9" s="11">
        <v>0.15</v>
      </c>
      <c r="Q9" s="11">
        <v>0.15</v>
      </c>
      <c r="R9" s="11">
        <v>0.15</v>
      </c>
      <c r="S9" s="11">
        <v>0.15</v>
      </c>
      <c r="T9" s="11">
        <v>0.15</v>
      </c>
      <c r="U9" s="11">
        <v>0.15</v>
      </c>
      <c r="V9" s="11">
        <v>0.15</v>
      </c>
      <c r="W9" s="21">
        <v>0.1</v>
      </c>
      <c r="X9" s="21">
        <v>0.2</v>
      </c>
    </row>
    <row r="10" spans="2:24" outlineLevel="1" x14ac:dyDescent="0.2">
      <c r="B10" s="16"/>
      <c r="C10" s="16" t="s">
        <v>14</v>
      </c>
      <c r="D10" s="11">
        <v>3000</v>
      </c>
      <c r="E10" s="11">
        <v>3000</v>
      </c>
      <c r="F10" s="11">
        <v>3000</v>
      </c>
      <c r="G10" s="11">
        <v>3000</v>
      </c>
      <c r="H10" s="11">
        <v>3000</v>
      </c>
      <c r="I10" s="11">
        <v>3000</v>
      </c>
      <c r="J10" s="11">
        <v>3000</v>
      </c>
      <c r="K10" s="11">
        <v>3000</v>
      </c>
      <c r="L10" s="11">
        <v>3000</v>
      </c>
      <c r="M10" s="21">
        <v>2000</v>
      </c>
      <c r="N10" s="21">
        <v>4000</v>
      </c>
      <c r="O10" s="11">
        <v>3000</v>
      </c>
      <c r="P10" s="11">
        <v>3000</v>
      </c>
      <c r="Q10" s="11">
        <v>3000</v>
      </c>
      <c r="R10" s="11">
        <v>3000</v>
      </c>
      <c r="S10" s="11">
        <v>3000</v>
      </c>
      <c r="T10" s="11">
        <v>3000</v>
      </c>
      <c r="U10" s="11">
        <v>3000</v>
      </c>
      <c r="V10" s="11">
        <v>3000</v>
      </c>
      <c r="W10" s="21">
        <v>2000</v>
      </c>
      <c r="X10" s="21">
        <v>4000</v>
      </c>
    </row>
    <row r="11" spans="2:24" outlineLevel="1" x14ac:dyDescent="0.2">
      <c r="B11" s="16"/>
      <c r="C11" s="16" t="s">
        <v>18</v>
      </c>
      <c r="D11" s="12">
        <v>0.5</v>
      </c>
      <c r="E11" s="12">
        <v>0.5</v>
      </c>
      <c r="F11" s="12">
        <v>0.5</v>
      </c>
      <c r="G11" s="12">
        <v>0.5</v>
      </c>
      <c r="H11" s="12">
        <v>0.5</v>
      </c>
      <c r="I11" s="12">
        <v>0.5</v>
      </c>
      <c r="J11" s="12">
        <v>0.5</v>
      </c>
      <c r="K11" s="12">
        <v>0.5</v>
      </c>
      <c r="L11" s="12">
        <v>0.5</v>
      </c>
      <c r="M11" s="12">
        <v>0.5</v>
      </c>
      <c r="N11" s="12">
        <v>0.5</v>
      </c>
      <c r="O11" s="22">
        <v>0.4</v>
      </c>
      <c r="P11" s="22">
        <v>0.6</v>
      </c>
      <c r="Q11" s="12">
        <v>0.5</v>
      </c>
      <c r="R11" s="12">
        <v>0.5</v>
      </c>
      <c r="S11" s="12">
        <v>0.5</v>
      </c>
      <c r="T11" s="12">
        <v>0.5</v>
      </c>
      <c r="U11" s="12">
        <v>0.5</v>
      </c>
      <c r="V11" s="12">
        <v>0.5</v>
      </c>
      <c r="W11" s="22">
        <v>0.4</v>
      </c>
      <c r="X11" s="22">
        <v>0.6</v>
      </c>
    </row>
    <row r="12" spans="2:24" outlineLevel="1" x14ac:dyDescent="0.2">
      <c r="B12" s="16"/>
      <c r="C12" s="16" t="s">
        <v>23</v>
      </c>
      <c r="D12" s="11">
        <v>0.01</v>
      </c>
      <c r="E12" s="11">
        <v>0.01</v>
      </c>
      <c r="F12" s="11">
        <v>0.01</v>
      </c>
      <c r="G12" s="11">
        <v>0.01</v>
      </c>
      <c r="H12" s="11">
        <v>0.01</v>
      </c>
      <c r="I12" s="11">
        <v>0.01</v>
      </c>
      <c r="J12" s="11">
        <v>0.01</v>
      </c>
      <c r="K12" s="11">
        <v>0.01</v>
      </c>
      <c r="L12" s="11">
        <v>0.01</v>
      </c>
      <c r="M12" s="11">
        <v>0.01</v>
      </c>
      <c r="N12" s="11">
        <v>0.01</v>
      </c>
      <c r="O12" s="11">
        <v>0.01</v>
      </c>
      <c r="P12" s="11">
        <v>0.01</v>
      </c>
      <c r="Q12" s="21">
        <v>5.0000000000000001E-3</v>
      </c>
      <c r="R12" s="21">
        <v>1.4999999999999999E-2</v>
      </c>
      <c r="S12" s="11">
        <v>0.01</v>
      </c>
      <c r="T12" s="11">
        <v>0.01</v>
      </c>
      <c r="U12" s="11">
        <v>0.01</v>
      </c>
      <c r="V12" s="11">
        <v>0.01</v>
      </c>
      <c r="W12" s="21">
        <v>5.0000000000000001E-3</v>
      </c>
      <c r="X12" s="21">
        <v>1.4999999999999999E-2</v>
      </c>
    </row>
    <row r="13" spans="2:24" outlineLevel="1" x14ac:dyDescent="0.2">
      <c r="B13" s="16"/>
      <c r="C13" s="16" t="s">
        <v>24</v>
      </c>
      <c r="D13" s="11">
        <v>0.95</v>
      </c>
      <c r="E13" s="11">
        <v>0.95</v>
      </c>
      <c r="F13" s="11">
        <v>0.95</v>
      </c>
      <c r="G13" s="11">
        <v>0.95</v>
      </c>
      <c r="H13" s="11">
        <v>0.95</v>
      </c>
      <c r="I13" s="11">
        <v>0.95</v>
      </c>
      <c r="J13" s="11">
        <v>0.95</v>
      </c>
      <c r="K13" s="11">
        <v>0.95</v>
      </c>
      <c r="L13" s="11">
        <v>0.95</v>
      </c>
      <c r="M13" s="11">
        <v>0.95</v>
      </c>
      <c r="N13" s="11">
        <v>0.95</v>
      </c>
      <c r="O13" s="11">
        <v>0.95</v>
      </c>
      <c r="P13" s="11">
        <v>0.95</v>
      </c>
      <c r="Q13" s="11">
        <v>0.95</v>
      </c>
      <c r="R13" s="11">
        <v>0.95</v>
      </c>
      <c r="S13" s="21">
        <v>0.9</v>
      </c>
      <c r="T13" s="21">
        <v>1</v>
      </c>
      <c r="U13" s="11">
        <v>0.95</v>
      </c>
      <c r="V13" s="11">
        <v>0.95</v>
      </c>
      <c r="W13" s="21">
        <v>0.9</v>
      </c>
      <c r="X13" s="21">
        <v>1</v>
      </c>
    </row>
    <row r="14" spans="2:24" outlineLevel="1" x14ac:dyDescent="0.2">
      <c r="B14" s="16"/>
      <c r="C14" s="16" t="s">
        <v>26</v>
      </c>
      <c r="D14" s="11">
        <v>0.75</v>
      </c>
      <c r="E14" s="11">
        <v>0.75</v>
      </c>
      <c r="F14" s="11">
        <v>0.75</v>
      </c>
      <c r="G14" s="11">
        <v>0.75</v>
      </c>
      <c r="H14" s="11">
        <v>0.75</v>
      </c>
      <c r="I14" s="11">
        <v>0.75</v>
      </c>
      <c r="J14" s="11">
        <v>0.75</v>
      </c>
      <c r="K14" s="11">
        <v>0.75</v>
      </c>
      <c r="L14" s="11">
        <v>0.75</v>
      </c>
      <c r="M14" s="11">
        <v>0.75</v>
      </c>
      <c r="N14" s="11">
        <v>0.75</v>
      </c>
      <c r="O14" s="11">
        <v>0.75</v>
      </c>
      <c r="P14" s="11">
        <v>0.75</v>
      </c>
      <c r="Q14" s="11">
        <v>0.75</v>
      </c>
      <c r="R14" s="11">
        <v>0.75</v>
      </c>
      <c r="S14" s="11">
        <v>0.75</v>
      </c>
      <c r="T14" s="11">
        <v>0.75</v>
      </c>
      <c r="U14" s="21">
        <v>0.6</v>
      </c>
      <c r="V14" s="21">
        <v>0.9</v>
      </c>
      <c r="W14" s="21">
        <v>0.9</v>
      </c>
      <c r="X14" s="21">
        <v>0.6</v>
      </c>
    </row>
    <row r="15" spans="2:24" x14ac:dyDescent="0.2">
      <c r="B15" s="17" t="s">
        <v>85</v>
      </c>
      <c r="C15" s="17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</row>
    <row r="16" spans="2:24" outlineLevel="1" x14ac:dyDescent="0.2">
      <c r="B16" s="16"/>
      <c r="C16" s="16" t="s">
        <v>89</v>
      </c>
      <c r="D16" s="24">
        <v>6890.5436319296095</v>
      </c>
      <c r="E16" s="24">
        <v>6545.4162542976601</v>
      </c>
      <c r="F16" s="24">
        <v>7235.6710095615399</v>
      </c>
      <c r="G16" s="24">
        <v>6934.8140633837502</v>
      </c>
      <c r="H16" s="24">
        <v>6846.2732004754698</v>
      </c>
      <c r="I16" s="24">
        <v>5278.6193858000797</v>
      </c>
      <c r="J16" s="24">
        <v>8502.4678780591294</v>
      </c>
      <c r="K16" s="24">
        <v>6457.4381629593599</v>
      </c>
      <c r="L16" s="24">
        <v>7185.2246573746997</v>
      </c>
      <c r="M16" s="24">
        <v>7480.8074622874801</v>
      </c>
      <c r="N16" s="24">
        <v>6300.2798015717199</v>
      </c>
      <c r="O16" s="24">
        <v>6848.63680812446</v>
      </c>
      <c r="P16" s="24">
        <v>6929.8428540762898</v>
      </c>
      <c r="Q16" s="24">
        <v>8146.8002808668898</v>
      </c>
      <c r="R16" s="24">
        <v>6101.19339041289</v>
      </c>
      <c r="S16" s="24">
        <v>6890.5436319296095</v>
      </c>
      <c r="T16" s="24">
        <v>6890.5436319296095</v>
      </c>
      <c r="U16" s="24">
        <v>6890.5436319296095</v>
      </c>
      <c r="V16" s="24">
        <v>6890.5436319296095</v>
      </c>
      <c r="W16" s="24">
        <v>10350.952848982201</v>
      </c>
      <c r="X16" s="24">
        <v>3827.3537951470598</v>
      </c>
    </row>
    <row r="17" spans="2:24" outlineLevel="1" x14ac:dyDescent="0.2">
      <c r="B17" s="16"/>
      <c r="C17" s="16" t="s">
        <v>90</v>
      </c>
      <c r="D17" s="25">
        <v>0.86878616223299598</v>
      </c>
      <c r="E17" s="25">
        <v>0.86878616223299598</v>
      </c>
      <c r="F17" s="25">
        <v>0.86878616223299598</v>
      </c>
      <c r="G17" s="25">
        <v>0.86878616223299598</v>
      </c>
      <c r="H17" s="25">
        <v>0.86878616223299598</v>
      </c>
      <c r="I17" s="25">
        <v>0.86878616223299598</v>
      </c>
      <c r="J17" s="25">
        <v>0.86878616223299598</v>
      </c>
      <c r="K17" s="25">
        <v>0.75686243622593696</v>
      </c>
      <c r="L17" s="25">
        <v>0.94476908165663798</v>
      </c>
      <c r="M17" s="25">
        <v>0.86878616223299598</v>
      </c>
      <c r="N17" s="25">
        <v>0.86878616223299598</v>
      </c>
      <c r="O17" s="25">
        <v>0.65661781068085601</v>
      </c>
      <c r="P17" s="25">
        <v>1.10866674497233</v>
      </c>
      <c r="Q17" s="25">
        <v>0.66718461754106095</v>
      </c>
      <c r="R17" s="25">
        <v>0.94066748899077501</v>
      </c>
      <c r="S17" s="25">
        <v>0.79976068670660405</v>
      </c>
      <c r="T17" s="25">
        <v>0.93781163775938103</v>
      </c>
      <c r="U17" s="25">
        <v>0.95732573678667898</v>
      </c>
      <c r="V17" s="25">
        <v>0.78024658767930299</v>
      </c>
      <c r="W17" s="25">
        <v>0.335065905625891</v>
      </c>
      <c r="X17" s="25">
        <v>1.5161899177238001</v>
      </c>
    </row>
    <row r="18" spans="2:24" ht="13.5" outlineLevel="1" thickBot="1" x14ac:dyDescent="0.25">
      <c r="B18" s="18"/>
      <c r="C18" s="18" t="s">
        <v>54</v>
      </c>
      <c r="D18" s="26">
        <v>7931.23087299089</v>
      </c>
      <c r="E18" s="26">
        <v>7533.9784849637899</v>
      </c>
      <c r="F18" s="26">
        <v>8328.4832610179601</v>
      </c>
      <c r="G18" s="26">
        <v>7982.1875219093699</v>
      </c>
      <c r="H18" s="26">
        <v>7880.2742240724101</v>
      </c>
      <c r="I18" s="26">
        <v>6075.8557344337896</v>
      </c>
      <c r="J18" s="26">
        <v>9786.6060115479704</v>
      </c>
      <c r="K18" s="26">
        <v>8531.8518318323604</v>
      </c>
      <c r="L18" s="26">
        <v>7605.2707448634201</v>
      </c>
      <c r="M18" s="26">
        <v>8610.6429723281399</v>
      </c>
      <c r="N18" s="26">
        <v>7251.8187736536202</v>
      </c>
      <c r="O18" s="26">
        <v>10430.1721590875</v>
      </c>
      <c r="P18" s="26">
        <v>6250.6094689881002</v>
      </c>
      <c r="Q18" s="26">
        <v>12210.7135966238</v>
      </c>
      <c r="R18" s="26">
        <v>6486.02557420024</v>
      </c>
      <c r="S18" s="26">
        <v>8615.7568713519795</v>
      </c>
      <c r="T18" s="26">
        <v>7347.4708080958399</v>
      </c>
      <c r="U18" s="26">
        <v>7197.7001841171896</v>
      </c>
      <c r="V18" s="26">
        <v>8831.2384068531992</v>
      </c>
      <c r="W18" s="26">
        <v>30892.2891741163</v>
      </c>
      <c r="X18" s="26">
        <v>2524.3234705668801</v>
      </c>
    </row>
    <row r="19" spans="2:24" x14ac:dyDescent="0.2">
      <c r="B19" t="s">
        <v>86</v>
      </c>
    </row>
    <row r="20" spans="2:24" x14ac:dyDescent="0.2">
      <c r="B20" t="s">
        <v>87</v>
      </c>
    </row>
    <row r="21" spans="2:24" x14ac:dyDescent="0.2">
      <c r="B21" t="s">
        <v>88</v>
      </c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"/>
  <sheetViews>
    <sheetView workbookViewId="0">
      <selection activeCell="N32" sqref="N32"/>
    </sheetView>
  </sheetViews>
  <sheetFormatPr defaultRowHeight="12.75" x14ac:dyDescent="0.2"/>
  <sheetData>
    <row r="1" spans="1:1" ht="15.75" x14ac:dyDescent="0.25">
      <c r="A1" s="41" t="s">
        <v>132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42</vt:i4>
      </vt:variant>
    </vt:vector>
  </HeadingPairs>
  <TitlesOfParts>
    <vt:vector size="50" baseType="lpstr">
      <vt:lpstr>Introduction</vt:lpstr>
      <vt:lpstr>Parameters and Analysis</vt:lpstr>
      <vt:lpstr>Markov Model</vt:lpstr>
      <vt:lpstr>Markov Model (2)</vt:lpstr>
      <vt:lpstr>Scenario Summary</vt:lpstr>
      <vt:lpstr>Model Figure</vt:lpstr>
      <vt:lpstr>CohortDrug</vt:lpstr>
      <vt:lpstr>CohortNoDrug</vt:lpstr>
      <vt:lpstr>_nD35</vt:lpstr>
      <vt:lpstr>_nD45</vt:lpstr>
      <vt:lpstr>_nD55</vt:lpstr>
      <vt:lpstr>_nD65</vt:lpstr>
      <vt:lpstr>_nD75</vt:lpstr>
      <vt:lpstr>_nD85</vt:lpstr>
      <vt:lpstr>'Markov Model (2)'!age</vt:lpstr>
      <vt:lpstr>age</vt:lpstr>
      <vt:lpstr>alpha</vt:lpstr>
      <vt:lpstr>'Markov Model (2)'!Asymp</vt:lpstr>
      <vt:lpstr>Asymp</vt:lpstr>
      <vt:lpstr>'Markov Model (2)'!Asymp_lag</vt:lpstr>
      <vt:lpstr>Asymp_lag</vt:lpstr>
      <vt:lpstr>beta</vt:lpstr>
      <vt:lpstr>cAsymp</vt:lpstr>
      <vt:lpstr>cDeath</vt:lpstr>
      <vt:lpstr>cDR</vt:lpstr>
      <vt:lpstr>cDrug</vt:lpstr>
      <vt:lpstr>cProg</vt:lpstr>
      <vt:lpstr>cycle</vt:lpstr>
      <vt:lpstr>'Markov Model (2)'!Death</vt:lpstr>
      <vt:lpstr>Death</vt:lpstr>
      <vt:lpstr>'Markov Model (2)'!Death_lag</vt:lpstr>
      <vt:lpstr>Death_lag</vt:lpstr>
      <vt:lpstr>effect</vt:lpstr>
      <vt:lpstr>ini_age</vt:lpstr>
      <vt:lpstr>mean</vt:lpstr>
      <vt:lpstr>n_cohort</vt:lpstr>
      <vt:lpstr>'Markov Model (2)'!ncycle</vt:lpstr>
      <vt:lpstr>ncycle</vt:lpstr>
      <vt:lpstr>oDR</vt:lpstr>
      <vt:lpstr>'Markov Model (2)'!Prog</vt:lpstr>
      <vt:lpstr>Prog</vt:lpstr>
      <vt:lpstr>'Markov Model (2)'!Prog_lag</vt:lpstr>
      <vt:lpstr>Prog_lag</vt:lpstr>
      <vt:lpstr>'Markov Model (2)'!rDeath</vt:lpstr>
      <vt:lpstr>rDeath</vt:lpstr>
      <vt:lpstr>se</vt:lpstr>
      <vt:lpstr>tpDcm</vt:lpstr>
      <vt:lpstr>tpProg</vt:lpstr>
      <vt:lpstr>uAsymp</vt:lpstr>
      <vt:lpstr>uProg</vt:lpstr>
    </vt:vector>
  </TitlesOfParts>
  <Manager>Health Economics Research Centre</Manager>
  <Company>University of Oxford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Probabilistic Sensitivity Analysis of Cost-Effectiveness Models</dc:title>
  <dc:creator>Andrew Briggs</dc:creator>
  <dc:description>This model is made available for educational purposes.  Please direct comments, corrections and requests for commercial use to andrew.briggs@ihs.ox.ac.uk</dc:description>
  <cp:lastModifiedBy>Nathan</cp:lastModifiedBy>
  <cp:lastPrinted>1999-09-02T12:09:59Z</cp:lastPrinted>
  <dcterms:created xsi:type="dcterms:W3CDTF">1997-05-02T12:23:35Z</dcterms:created>
  <dcterms:modified xsi:type="dcterms:W3CDTF">2022-10-20T15:05:42Z</dcterms:modified>
</cp:coreProperties>
</file>